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人在鸭大\科研人科研魂\稳定币调研\SOK\稳定币事件库_v3.2_公开发布包\data\"/>
    </mc:Choice>
  </mc:AlternateContent>
  <bookViews>
    <workbookView windowWidth="22188" windowHeight="9060" activeTab="2"/>
  </bookViews>
  <sheets>
    <sheet name="统计概览" sheetId="1" r:id="rId1"/>
    <sheet name="108案详情" sheetId="2" r:id="rId2"/>
    <sheet name="来源"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<sst xmlns="http://schemas.openxmlformats.org/spreadsheetml/2006/main" count="2777" uniqueCount="1372">
  <si>
    <t>稳定币安全事件统计</t>
  </si>
  <si>
    <t>稳定币安全事件统计（v3.1）</t>
  </si>
  <si>
    <t>样本：108起事件；每起事件记录一个主要风险起点和一个主要风险性质。</t>
  </si>
  <si>
    <t>风险起点</t>
  </si>
  <si>
    <t>总数</t>
  </si>
  <si>
    <t>继承</t>
  </si>
  <si>
    <t>重塑</t>
  </si>
  <si>
    <t>特有</t>
  </si>
  <si>
    <t>C_VS 价值支撑</t>
  </si>
  <si>
    <t>C_PR 协议规则</t>
  </si>
  <si>
    <t>C_CI 合约实现</t>
  </si>
  <si>
    <t>C_RD 运行依赖</t>
  </si>
  <si>
    <t>M_LI 流动性</t>
  </si>
  <si>
    <t>M_PR 锚定修复</t>
  </si>
  <si>
    <t>M_CR 信心挤兑</t>
  </si>
  <si>
    <t>E_IN 外部集成</t>
  </si>
  <si>
    <t>E_IU 违法利用</t>
  </si>
  <si>
    <t>E_RJ 监管法域</t>
  </si>
  <si>
    <t>合计</t>
  </si>
  <si>
    <t>分析空间</t>
  </si>
  <si>
    <t>数量</t>
  </si>
  <si>
    <t>占全部事件</t>
  </si>
  <si>
    <t>核心机制</t>
  </si>
  <si>
    <t>市场运行</t>
  </si>
  <si>
    <t>外部生态</t>
  </si>
  <si>
    <t>市场表现与传播</t>
  </si>
  <si>
    <t>统计项目</t>
  </si>
  <si>
    <t>记录为脱锚</t>
  </si>
  <si>
    <t>局部/短时价格偏离</t>
  </si>
  <si>
    <t>至少一次跨空间传播</t>
  </si>
  <si>
    <t>分类说明</t>
  </si>
  <si>
    <t>风险起点依据最先出现的关键风险条件；后续价格下跌、挤兑或损失不自动改变起点。</t>
  </si>
  <si>
    <t>继承：去掉稳定价值目标后，风险在一般区块链或加密资产系统中仍然成立。</t>
  </si>
  <si>
    <t>重塑：稳定价值目标或机制改变既有风险的触发条件、传播方式或影响范围。</t>
  </si>
  <si>
    <t>特有：直接来自维持稳定价值所增加的资产支撑、兑付承诺、铸赎或稳定机制。</t>
  </si>
  <si>
    <t>事件时间保留来源精度；区间、公告与披露时间按原记录展示。</t>
  </si>
  <si>
    <t>资产证明用于识别资产；来源未明确事件链版本时，证明链接不代表事件发生链。</t>
  </si>
  <si>
    <t>108起稳定币安全事件</t>
  </si>
  <si>
    <t>108起稳定币安全事件（v3.1勘误版）</t>
  </si>
  <si>
    <t>序号</t>
  </si>
  <si>
    <t>事件时间</t>
  </si>
  <si>
    <t>事件名称</t>
  </si>
  <si>
    <t>稳定币/资产版本</t>
  </si>
  <si>
    <t>链/主要场景</t>
  </si>
  <si>
    <t>价值支撑方式</t>
  </si>
  <si>
    <t>稳定币角色</t>
  </si>
  <si>
    <t>风险空间</t>
  </si>
  <si>
    <t>风险类型</t>
  </si>
  <si>
    <t>风险性质</t>
  </si>
  <si>
    <t>首个关键风险条件</t>
  </si>
  <si>
    <t>事件过程</t>
  </si>
  <si>
    <t>价格偏离情况</t>
  </si>
  <si>
    <t>市场表现</t>
  </si>
  <si>
    <t>影响规模</t>
  </si>
  <si>
    <t>处置结果</t>
  </si>
  <si>
    <t>传播空间序列</t>
  </si>
  <si>
    <t>证据限定</t>
  </si>
  <si>
    <t>事件依据</t>
  </si>
  <si>
    <t>资产证明</t>
  </si>
  <si>
    <t>2016-06-01—2019-02-25被调查陈述；2021-10-15命令</t>
  </si>
  <si>
    <t>Tether：CFTC储备陈述执法和解</t>
  </si>
  <si>
    <t>USDT</t>
  </si>
  <si>
    <t>Tether储备／银行体系</t>
  </si>
  <si>
    <t>法币储备型稳定币或其外部使用/处置场景</t>
  </si>
  <si>
    <t>USDT是CFTC审查其储备支持陈述的稳定币</t>
  </si>
  <si>
    <t>C_VS</t>
  </si>
  <si>
    <t>核心机制—价值支撑风险</t>
  </si>
  <si>
    <t>稳定币特有风险</t>
  </si>
  <si>
    <t>Tether在调查期内并非所有时点都以足额法币储备支持USDT，却作出充分储备相关陈述</t>
  </si>
  <si>
    <t>储备支持陈述与实际覆盖不一致 → 监管调查 → CFTC罚款4100万美元 → 储备披露治理加强</t>
  </si>
  <si>
    <t>否</t>
  </si>
  <si>
    <t>USDT未以调查期脱锚作为核心结果；监管关注点是储备覆盖与对外陈述。</t>
  </si>
  <si>
    <t>CFTC罚款4,100万美元；调查样本中仅27.6%的天数拥有足额法币储备</t>
  </si>
  <si>
    <t>Tether与CFTC和解并支付4,100万美元民事罚款，储备披露和构成随后加强</t>
  </si>
  <si>
    <t>C→E</t>
  </si>
  <si>
    <t/>
  </si>
  <si>
    <t>2017—2019相关行为；2021-02-23和解</t>
  </si>
  <si>
    <t>Bitfinex／Tether：NYAG储备调查和解</t>
  </si>
  <si>
    <t>Bitfinex／Tether关联资金体系</t>
  </si>
  <si>
    <t>USDT是储备与Bitfinex关联资金缺口相互耦合的稳定币</t>
  </si>
  <si>
    <t>Bitfinex约8.5亿美元资金缺口通过Tether储备/关联交易安排获得流动性支持</t>
  </si>
  <si>
    <t>Bitfinex资金缺口 → 动用/借用Tether相关储备流动性 → USDT储备独立性受质疑 → NYAG和解</t>
  </si>
  <si>
    <t>USDT未发生由该调查直接确认的持续脱锚；核心是储备独立性和关联方流动性风险。</t>
  </si>
  <si>
    <t>Bitfinex约8.5亿美元资金缺口；与Tether达成1,850万美元和解并接受限制措施</t>
  </si>
  <si>
    <t>Bitfinex/Tether与纽约州总检察长达成1,850万美元和解并接受储备/交易限制及报告义务</t>
  </si>
  <si>
    <t>2018-11-25；2019-02-15报道回顾</t>
  </si>
  <si>
    <t>BitShares bitUSD：全局清算后借币停止</t>
  </si>
  <si>
    <t>bitUSD；BTS为抵押资产</t>
  </si>
  <si>
    <t>BitShares</t>
  </si>
  <si>
    <t>加密资产超额抵押；BTS抵押支持bitUSD</t>
  </si>
  <si>
    <t>bitUSD是全局清算后停止新增借币并长期脱锚的稳定币</t>
  </si>
  <si>
    <t>BTS持续下跌使抵押不足恶化，系统触发Global Settlement并停止常规新增借币</t>
  </si>
  <si>
    <t>BTS抵押价值下降 → 系统抵押率恶化 → Global Settlement → 停止新增借币 → bitUSD长期脱锚</t>
  </si>
  <si>
    <t>是</t>
  </si>
  <si>
    <t>发生明显或持续性脱锚/折价，价格稳定性受到实质破坏；触发Global Settlement后长期停止新增借币并低于1美元</t>
  </si>
  <si>
    <t>触发Global Settlement后长期停止新增借币并低于1美元</t>
  </si>
  <si>
    <t>bitUSD进入全局清算并长期受限，后续社区通过机制提案讨论恢复和防止再次触发</t>
  </si>
  <si>
    <t>C→M</t>
  </si>
  <si>
    <t>2020-11—2023-04被指行为；2024-09-24公告</t>
  </si>
  <si>
    <t>TrueCoin／TrustToken：TUSD储备披露与SEC和解</t>
  </si>
  <si>
    <t>TUSD</t>
  </si>
  <si>
    <t>TUSD储备与离岸基金</t>
  </si>
  <si>
    <t>法币/RWA储备型TUSD；储备曾配置离岸投资基金</t>
  </si>
  <si>
    <t>TUSD是储备披露与离岸基金投资安排的监管对象</t>
  </si>
  <si>
    <t>TUSD储备资金被大量配置到离岸投资基金，实际资产安排与对外储备陈述之间出现重大差异</t>
  </si>
  <si>
    <t>储备投向离岸基金 → 资产透明度/合规性下降 → 监管调查 → SEC和解并要求整改</t>
  </si>
  <si>
    <t>TUSD未以事件期市场脱锚作为主要监管事实；核心是储备质量、流动性和披露真实性。</t>
  </si>
  <si>
    <t>超过5亿美元TUSD储备被投入离岸基金；SEC称到2024年约99%储备位于该基金</t>
  </si>
  <si>
    <t>TrueCoin/TrustToken与SEC达成和解并接受处罚/整改，TUSD储备透明度成为监管重点</t>
  </si>
  <si>
    <t>2022-04—2022-12（多次脱锚）</t>
  </si>
  <si>
    <t>Neutrino Protocol</t>
  </si>
  <si>
    <t>USDN</t>
  </si>
  <si>
    <t>Waves</t>
  </si>
  <si>
    <t>加密资产支持／算法型；WAVES-USDN铸赎与再资本化</t>
  </si>
  <si>
    <t>USDN是直接脱锚对象，WAVES价值与资本化能力构成其核心支撑</t>
  </si>
  <si>
    <t>WAVES价格下跌、抵押关联度高及再资本化能力不足，使USDN价值支撑持续承压</t>
  </si>
  <si>
    <t>WAVES支撑能力下降 → USDN抵押不足/信心恶化 → 持续脱锚 → 再资本化与机制调整 → XTN转型</t>
  </si>
  <si>
    <t>发生明显或持续性脱锚/折价，价格稳定性受到实质破坏；2022年4月USDN一度约0.78美元，年内反复脱锚，最终停止维持1美元目标并转为XTN</t>
  </si>
  <si>
    <t>2022年4月USDN一度约0.78美元，年内反复脱锚，最终停止维持1美元目标并转为XTN</t>
  </si>
  <si>
    <t>USDN经过多轮参数调整仍未恢复稳定，最终更名XTN并放弃固定1美元目标</t>
  </si>
  <si>
    <t>2022-10-24</t>
  </si>
  <si>
    <t>NEAR USN：停止铸造与受控退出</t>
  </si>
  <si>
    <t>USN</t>
  </si>
  <si>
    <t>NEAR／Decentral Bank</t>
  </si>
  <si>
    <t>混合机制USN；由算法模式转向更强抵押支持</t>
  </si>
  <si>
    <t>USN是出现约4000万美元抵押缺口后停止铸造并受控退出的稳定币</t>
  </si>
  <si>
    <t>历史机制与资产负债表累积约4000万美元抵押缺口，继续铸造将扩大未覆盖负债</t>
  </si>
  <si>
    <t>发现约4000万美元抵押缺口 → 停止新铸USN → NEAR保护计划接管缺口 → 受控清算退出</t>
  </si>
  <si>
    <t>USN在发现约4,000万美元抵押缺口后停止新铸造并由NEAR保护计划承接，未以无序市场脱锚作为主要处置路径。</t>
  </si>
  <si>
    <t>约4,000万美元抵押缺口，由NEAR保护计划承担并推动退出</t>
  </si>
  <si>
    <t>Decentral Bank停止USN新铸造，NEAR保护计划承担缺口并推进持有人受控退出</t>
  </si>
  <si>
    <t>C</t>
  </si>
  <si>
    <t>2022-12—2023-02；后续机制说明至2023-07</t>
  </si>
  <si>
    <t>USDN：年末失稳处置与XTN转型</t>
  </si>
  <si>
    <t>Waves原生USDN，后更名XTN；ERC20映射另论</t>
  </si>
  <si>
    <t>Waves主网</t>
  </si>
  <si>
    <t>USDN是持续脱锚并最终转型为XTN的稳定币</t>
  </si>
  <si>
    <t>WAVES/生态信用持续恶化与抵押结构弱化，使USDN多次脱锚后难以恢复</t>
  </si>
  <si>
    <t>支撑资产/生态信心走弱 → 多轮抛售与赎回 → USDN持续脱锚 → 机制调整与债务处置 → XTN转型</t>
  </si>
  <si>
    <t>发生明显或持续性脱锚/折价，价格稳定性受到实质破坏；2022年4月最低约0.78美元，后续长期低于锚定并转型XTN</t>
  </si>
  <si>
    <t>2022年4月最低约0.78美元，后续长期低于锚定并转型XTN</t>
  </si>
  <si>
    <t>USDN最终转型XTN并放弃固定美元锚定，Waves生态转向新的风险处置机制</t>
  </si>
  <si>
    <t>2023-03-10—2023-03-15</t>
  </si>
  <si>
    <t>SVB 冲击 USDC</t>
  </si>
  <si>
    <t>USDC／USD Coin</t>
  </si>
  <si>
    <t>储备银行／多链；研究覆盖Ethereum、Avalanche、Solana、TRON</t>
  </si>
  <si>
    <t>法币储备型；USDC以现金及高流动性美元资产支持</t>
  </si>
  <si>
    <t>USDC是链下储备银行风险直接传导至链上价格与赎回预期的稳定币</t>
  </si>
  <si>
    <t>SVB关闭导致Circle有33亿美元储备暂时面临银行可用性风险，市场先行重估兑付预期</t>
  </si>
  <si>
    <t>SVB关闭 → USDC部分储备短时不可用 → 赎回担忧与抛售 → USDC脱锚 → 政策保障/银行可用性恢复 → 回锚</t>
  </si>
  <si>
    <t>发生明显或持续性脱锚/折价，价格稳定性受到实质破坏；Circle披露33亿美元USDC储备位于SVB；USDC一度跌至约0.87—0.88美元</t>
  </si>
  <si>
    <t>Circle披露33亿美元USDC储备位于SVB；USDC一度跌至约0.87—0.88美元</t>
  </si>
  <si>
    <t>美国监管处置SVB存款风险后Circle恢复赎回，USDC在数日内回到1美元附近</t>
  </si>
  <si>
    <t>2023-10-11失稳；处置材料至2025-09-16</t>
  </si>
  <si>
    <t>USDR：房地产储备与即时兑付缺口</t>
  </si>
  <si>
    <t>Tangible Real USD（USDR）；非其他同符号代币</t>
  </si>
  <si>
    <t>Polygon；2024赎回安排迁至re.al，2025拟返回Polygon</t>
  </si>
  <si>
    <t>RWA储备型；房地产+DAI等流动储备</t>
  </si>
  <si>
    <t>USDR是房地产储备与有限流动储备共同支持、发生兑付危机的稳定币</t>
  </si>
  <si>
    <t>大部分储备为房地产等非即时流动资产，而可立即赎回的DAI储备规模有限</t>
  </si>
  <si>
    <t>市场赎回加速 → 约1180万DAI流动储备耗尽 → 房地产难即时变现 → 兑付预期崩塌 → USDR暴跌</t>
  </si>
  <si>
    <t>发生明显或持续性脱锚/折价，价格稳定性受到实质破坏；约1,180万DAI流动储备被迅速耗尽，USDR价格大幅崩跌</t>
  </si>
  <si>
    <t>约1,180万DAI流动储备被迅速耗尽，USDR价格大幅崩跌</t>
  </si>
  <si>
    <t>Tangible停止正常USDR机制并推进赎回/资产处置，持有人通过后续安排回收价值</t>
  </si>
  <si>
    <t>2025-04-16退出提案；2025-07-02完成</t>
  </si>
  <si>
    <t>Inter Protocol／IST：分阶段停止运行</t>
  </si>
  <si>
    <t>IST</t>
  </si>
  <si>
    <t>Agoric／Inter Protocol</t>
  </si>
  <si>
    <t>多抵押+PSM稳定币IST；链上治理管理Vault与兑付模块</t>
  </si>
  <si>
    <t>IST是治理决定分阶段停止Vault/PSM并退出的稳定币</t>
  </si>
  <si>
    <t>治理决定停止IST生态，Vault/PSM和债务头寸按计划分阶段关闭</t>
  </si>
  <si>
    <t>治理通过退出 → Vault/PSM停止扩张 → 用户偿还/赎回 → IST负债与供应逐步收缩</t>
  </si>
  <si>
    <t>IST按治理计划退出，没有以安全攻击或无序脱锚为主要结果；供应随债务关闭收缩。</t>
  </si>
  <si>
    <t>无攻击损失；IST的Vault/PSM和债务体系按治理计划退出</t>
  </si>
  <si>
    <t>Inter Protocol按治理方案完成/推进Vault、PSM与债务退出，IST供应逐步收缩</t>
  </si>
  <si>
    <t>治理退出方向明确；具体全部完成节点以社区治理资料为主</t>
  </si>
  <si>
    <t>2025-05-12起；2025-08-22进入第三阶段</t>
  </si>
  <si>
    <t>Mountain USDM：退出转向Uniswap与USDC储备</t>
  </si>
  <si>
    <t>USDM（退出期转为USDC储备/AMM退出）</t>
  </si>
  <si>
    <t>Ethereum／Uniswap V4退出池</t>
  </si>
  <si>
    <t>收益型法币/RWA储备USDM；退出后转为USDC+AMM流动性</t>
  </si>
  <si>
    <t>USDM是发行方主动退出并改变赎回/储备结构的稳定币</t>
  </si>
  <si>
    <t>发行人主动wind-down，直接美元赎回逐步转为USDC储备和Uniswap流动性退出</t>
  </si>
  <si>
    <t>主动停止发行 → 赎回模式切换 → USDC储备/Uniswap承接退出 → USDM供应逐步收缩</t>
  </si>
  <si>
    <t>USDM按wind-down计划退出，未以无序脱锚收尾；主要表现为供应收缩和赎回路径迁移。</t>
  </si>
  <si>
    <t>无攻击损失；USDM发行退出并将剩余退出流动性迁移至USDC/Uniswap</t>
  </si>
  <si>
    <t>Mountain按wind-down计划停止常规发行，将退出路径转为USDC储备和Uniswap市场</t>
  </si>
  <si>
    <t>2025-10-08公告；2025-12-08计划转换</t>
  </si>
  <si>
    <t>Paxos USDL：停止发行与迁移USDG安排</t>
  </si>
  <si>
    <t>USDL；迁移目标USDG</t>
  </si>
  <si>
    <t>Ethereum／Paxos发行体系</t>
  </si>
  <si>
    <t>法币/T-bill储备收益型USDL；发行人主导赎回与迁移</t>
  </si>
  <si>
    <t>USDL是停止发行、收益和直接美元赎回并迁移至USDG的稳定币</t>
  </si>
  <si>
    <t>Paxos决定停止USDL发行、收益与直接美元赎回，并安排符合条件余额迁移为USDG</t>
  </si>
  <si>
    <t>停止USDL发行与收益 → 直接美元赎回终止 → 小额/合格余额转换USDG → 产品退出</t>
  </si>
  <si>
    <t>USDL有序退出，未以市场脱锚为主要事件结果；供应和收益功能按计划终止。</t>
  </si>
  <si>
    <t>无攻击损失；USDL停止铸造、收益和直接美元赎回并安排USDG转换</t>
  </si>
  <si>
    <t>Paxos按计划wind-down USDL并引导合格持有人迁移USDG，产品进入关闭阶段</t>
  </si>
  <si>
    <t>2025-11-04（损失披露日）</t>
  </si>
  <si>
    <t>Stream xUSD：外部资产管理损失与退出暂停</t>
  </si>
  <si>
    <t>Stream Finance xUSD</t>
  </si>
  <si>
    <t>外部基金管理＋Euler／Morpho／Silo等DeFi依赖</t>
  </si>
  <si>
    <t>收益型合成美元；资产由外部基金经理及DeFi借贷策略管理</t>
  </si>
  <si>
    <t>xUSD是外部资产管理亏损后暂停赎回并严重折价的稳定币</t>
  </si>
  <si>
    <t>外部基金管理人披露约9300万美元资产损失，Stream暂停存取款并暴露复杂DeFi敞口</t>
  </si>
  <si>
    <t>链下资产管理损失 → Stream暂停存取款 → xUSD兑付信心崩溃 → DeFi借贷敞口传染 → xUSD严重折价</t>
  </si>
  <si>
    <t>发生明显或持续性脱锚/折价，价格稳定性受到实质破坏；Stream披露外部基金管理人损失约9,300万美元；xUSD最低约0.26美元，DeFi潜在敞口约2.85亿美元</t>
  </si>
  <si>
    <t>Stream披露外部基金管理人损失约9,300万美元；xUSD最低约0.26美元，DeFi潜在敞口约2.85亿美元</t>
  </si>
  <si>
    <t>Stream暂停提款并进入调查/重组，xUSD严重失稳且外部DeFi协议被迫处置敞口</t>
  </si>
  <si>
    <t>C→M→E→M</t>
  </si>
  <si>
    <t>Stream公开约9300万美元外部管理损失；具体损失形成时间和资产构成披露有限</t>
  </si>
  <si>
    <t>2026-05-15公告；初始赎回期至2026-11-11</t>
  </si>
  <si>
    <t>GMO Trust：GYEN与ZUSD共同退出发行</t>
  </si>
  <si>
    <t>GYEN、ZUSD</t>
  </si>
  <si>
    <t>Ethereum／GMO Trust发行体系</t>
  </si>
  <si>
    <t>法币储备型；GYEN锚定JPY、ZUSD锚定USD</t>
  </si>
  <si>
    <t>GYEN和ZUSD是发行人主动进入有序退出和赎回期的稳定币</t>
  </si>
  <si>
    <t>GMO Trust主动停止GYEN/ZUSD新发行并设定统一赎回窗口</t>
  </si>
  <si>
    <t>停止GYEN/ZUSD新发行 → 进入赎回窗口 → 供应逐步收缩 → 产品有序退出</t>
  </si>
  <si>
    <t>GYEN/ZUSD有序退出，未以系统性脱锚为主要事件结果；核心是发行和赎回生命周期结束。</t>
  </si>
  <si>
    <t>无攻击损失；GYEN/ZUSD进入约180天初始赎回期</t>
  </si>
  <si>
    <t>GMO Trust停止GYEN/ZUSD新发行并维持赎回窗口，产品进入有序退出</t>
  </si>
  <si>
    <t>2021-01-07</t>
  </si>
  <si>
    <t>PolBase Cash特权提现／疑似Rug Pull</t>
  </si>
  <si>
    <t>PBC</t>
  </si>
  <si>
    <t>Ethereum</t>
  </si>
  <si>
    <t>算法型；PBC/PBB/PBS三Token seigniorage结构</t>
  </si>
  <si>
    <t>PBC是项目算法稳定币；资金损失来自管理员提取质押资产</t>
  </si>
  <si>
    <t>C_PR</t>
  </si>
  <si>
    <t>链上协议—协议规则缺陷</t>
  </si>
  <si>
    <t>继承风险</t>
  </si>
  <si>
    <t>部署者可通过setOperation等特权入口变更资金控制者并提取staking资产</t>
  </si>
  <si>
    <t>管理员设置资金操作地址 → staking资产被提取并撤流动性 → PBC生态信心与流动性受损</t>
  </si>
  <si>
    <t>未观察到PBC系统性价格数据可可靠量化；主要表现为质押资产被特权地址提取和项目流动性损失。</t>
  </si>
  <si>
    <t>约353,807美元质押/流动性资产被提取</t>
  </si>
  <si>
    <t>项目流动性/质押资产被提走后失去正常运营能力，按疑似Rug Pull记录</t>
  </si>
  <si>
    <t>链上权限与资金转移可核，但缺少项目官方技术复盘</t>
  </si>
  <si>
    <t>2021-03-15</t>
  </si>
  <si>
    <t>True Seigniorage Dollar</t>
  </si>
  <si>
    <t>TSD</t>
  </si>
  <si>
    <t>BSC</t>
  </si>
  <si>
    <t>无抵押算法型；seigniorage与DAO治理</t>
  </si>
  <si>
    <t>TSD是治理被接管后被巨量异常铸造的算法稳定币</t>
  </si>
  <si>
    <t>TSD价格低迷和治理参与下降使攻击者能低成本积累足够治理权并升级恶意实现</t>
  </si>
  <si>
    <t>治理参与枯竭 → 攻击者买入并控制提案 → 恶意升级 → 巨量TSD铸造 → 薄流动性市场被抽取</t>
  </si>
  <si>
    <t>发生明显或持续性脱锚/折价，价格稳定性受到实质破坏；异常铸造约118亿TSD，但薄流动性下实际套现约1.66万美元</t>
  </si>
  <si>
    <t>异常铸造约118亿TSD，但薄流动性下实际套现约1.66万美元</t>
  </si>
  <si>
    <t>TSD供应和市场功能遭破坏，项目未形成有效恢复</t>
  </si>
  <si>
    <t>治理攻击机制明确；约118亿TSD是异常铸造量，不等于同额美元损失</t>
  </si>
  <si>
    <t>2021-08-04（执行约01:43:52—01:49:05 UTC）</t>
  </si>
  <si>
    <t>Wault／WUSD：固定兑价与储备换币反馈</t>
  </si>
  <si>
    <t>WUSD；USDT为主要储备，WEX为内生资产</t>
  </si>
  <si>
    <t>混合储备；约90% USDT+10% WEX支持WUSD</t>
  </si>
  <si>
    <t>WUSD是固定USDT兑价和WEX储备反馈被反向利用的稳定币</t>
  </si>
  <si>
    <t>重塑风险</t>
  </si>
  <si>
    <t>WUSD按固定1:1 USDT铸赎，而相关操作同时影响WEX市场价格，形成可循环套利反馈</t>
  </si>
  <si>
    <t>固定USDT兑价铸赎 → WEX市场价格被操作影响储备 → 循环套利 → WUSD储备/锚定承压</t>
  </si>
  <si>
    <t>发生明显或持续性脱锚/折价，价格稳定性受到实质破坏；约80万美元直接损失，WUSD稳定机制与储备承受冲击</t>
  </si>
  <si>
    <t>约80万美元直接损失，WUSD稳定机制与储备承受冲击</t>
  </si>
  <si>
    <t>Wault修复WUSD储备/兑换机制并处置损失，事件暴露固定兑价与内生Token反馈问题</t>
  </si>
  <si>
    <t>2021-11-11</t>
  </si>
  <si>
    <t>Mochi Finance</t>
  </si>
  <si>
    <t>USDM</t>
  </si>
  <si>
    <t>抵押借贷型；MOCHI等抵押生成USDM</t>
  </si>
  <si>
    <t>USDM是由项目方高权限抵押/发行安排扩张并进入外部池的稳定币</t>
  </si>
  <si>
    <t>项目方可大量铸MOCHI并影响其价格，同时以高LTV借出USDM，发行约束高度集中</t>
  </si>
  <si>
    <t>特权铸造MOCHI/控制估值 → 大量借出USDM → 换走DAI并购买CVX → Curve撤销激励 → USDM池失衡与折价</t>
  </si>
  <si>
    <t>发生明显或持续性脱锚/折价，价格稳定性受到实质破坏；约4,600万USDM被生成/借出并换取DAI；相关Curve池流动性峰值曾超过1.7亿美元</t>
  </si>
  <si>
    <t>约4,600万USDM被生成/借出并换取DAI；相关Curve池流动性峰值曾超过1.7亿美元</t>
  </si>
  <si>
    <t>Curve Emergency DAO撤销USDM gauge激励，USDM市场流动性与可信度显著下降</t>
  </si>
  <si>
    <t>Curve治理记录与链上行为支持核心过程；更适合归为高度集中权限/经济治理风险</t>
  </si>
  <si>
    <t>2022-04-13</t>
  </si>
  <si>
    <t>Elephant Money</t>
  </si>
  <si>
    <t>TRUNK</t>
  </si>
  <si>
    <t>储备／双Token机制；TRUNK与ELEPHANT生态联动</t>
  </si>
  <si>
    <t>TRUNK是Reserve与ELEPHANT回购/铸赎反馈中的稳定资产</t>
  </si>
  <si>
    <t>TRUNK mint/redeem、Reserve与ELEPHANT回购之间缺少严格资产会计不变量</t>
  </si>
  <si>
    <t>闪电贷改变ELEPHANT/TRUNK状态 → mint/redeem与回购反馈失真 → Reserve被抽取 → TRUNK支撑能力受损</t>
  </si>
  <si>
    <t>局部/短时</t>
  </si>
  <si>
    <t>TRUNK相关市场在攻击后承压并出现短时价格扰动；核心损失是Reserve约1,120万美元被抽取，而非长期死亡螺旋。</t>
  </si>
  <si>
    <t>官方确认损失27,416 BNB，按当时价格约1,120万美元</t>
  </si>
  <si>
    <t>Elephant暂停Reserve与TRUNK铸赎并调整机制；协议储备受到实质损失</t>
  </si>
  <si>
    <t>2022/4/17</t>
  </si>
  <si>
    <t>Beanstalk 治理攻击</t>
  </si>
  <si>
    <t>Bean／BEAN（事件时版本）</t>
  </si>
  <si>
    <t>信用／算法型；Beanstalk治理与内生信用机制</t>
  </si>
  <si>
    <t>BEAN是协议负债与治理攻击后的价值受损对象</t>
  </si>
  <si>
    <t>治理投票权可被闪电贷瞬时集中，攻击者利用紧急治理提案转移协议资产</t>
  </si>
  <si>
    <t>治理权瞬时集中 → 恶意提案通过 → 协议资产被转走 → BEAN信用受损与市场折价</t>
  </si>
  <si>
    <t>发生明显或持续性脱锚/折价，价格稳定性受到实质破坏；约7,700万美元非BEAN资产被盗；协议估计总经济损失约1.82亿美元</t>
  </si>
  <si>
    <t>约7,700万美元非BEAN资产被盗；协议估计总经济损失约1.82亿美元</t>
  </si>
  <si>
    <t>Beanstalk通过融资/重启恢复协议运行，并重构治理安全机制</t>
  </si>
  <si>
    <t>2023-09-21</t>
  </si>
  <si>
    <t>Linear Finance发行权限失陷</t>
  </si>
  <si>
    <t>lUSD（小写）</t>
  </si>
  <si>
    <t>合成资产债务池；ℓUSD由Linear合成资产体系支持</t>
  </si>
  <si>
    <t>ℓUSD是攻击者用无限铸造的ℓAAVE在系统内兑换并对外抛售的稳定币</t>
  </si>
  <si>
    <t>高权限角色被异常授予ISSUE_ASSET权限，攻击合约获得合法无限发行ℓAAVE能力</t>
  </si>
  <si>
    <t>ISSUE_ASSET权限失陷 → 无限铸ℓAAVE → 内部换成ℓUSD → 外部市场抛售 → ℓUSD流动性被抽干</t>
  </si>
  <si>
    <t>发生明显或持续性脱锚/折价，价格稳定性受到实质破坏；约21.2万美元级攻击收益；ℓUSD主要流动性被快速抽干</t>
  </si>
  <si>
    <t>约21.2万美元级攻击收益；ℓUSD主要流动性被快速抽干</t>
  </si>
  <si>
    <t>Linear暂停mint/burn/exchange及桥接并追踪攻击地址，ℓUSD流动性随后重建有限</t>
  </si>
  <si>
    <t>2026/3/22</t>
  </si>
  <si>
    <t>Resolv／USR 异常铸造（扩充候选）</t>
  </si>
  <si>
    <t>USR（非USDe）</t>
  </si>
  <si>
    <t>市场中性储备型；USR依赖抵押资产与链下授权铸币</t>
  </si>
  <si>
    <t>USR是发行权限失陷后被大量无储备异常铸造的稳定币</t>
  </si>
  <si>
    <t>链下授权/签名发行权限被攻陷，攻击者可绕过正常抵押/入金流程铸造USR</t>
  </si>
  <si>
    <t>发行权限被攻陷 → USR无抵押巨量铸造 → 抛售/流动性抽取 → USR价格崩溃 → 项目应急处置</t>
  </si>
  <si>
    <t>发生明显或持续性脱锚/折价，价格稳定性受到实质破坏；攻击者异常铸造约8,000万USR，USR随后跌至几美分水平</t>
  </si>
  <si>
    <t>攻击者异常铸造约8,000万USR，USR随后跌至几美分水平</t>
  </si>
  <si>
    <t>Resolv暂停/调整发行权限和相关合约，USR生态遭受严重信用与市场损失</t>
  </si>
  <si>
    <t>安全机构与项目通报支持约8000万USR异常铸造；发行权限具体攻陷入口以公开资料为准</t>
  </si>
  <si>
    <t>2026-05-23—05-25；2026-08-25更新</t>
  </si>
  <si>
    <t>StablR USDR／EURR未经授权发行</t>
  </si>
  <si>
    <t>StablR USDR、EURR（区别Tangible USDR）</t>
  </si>
  <si>
    <t>StablR发行基础设施／链上USDR与EURR</t>
  </si>
  <si>
    <t>法币储备型；USDR/EURR依赖发行基础设施与隔离储备</t>
  </si>
  <si>
    <t>USDR/EURR是发行基础设施被攻陷后产生无对应储备供应的稳定币</t>
  </si>
  <si>
    <t>发行基础设施被攻击，攻击者绕过“入金—储备—授权铸币”流程直接生成USDR/EURR</t>
  </si>
  <si>
    <t>发行系统入侵 → 无入金USDR/EURR被铸造 → 总供应超过合法储备 → 铸赎/交易暂停 → 调查与处置</t>
  </si>
  <si>
    <t>未以市场脱锚作为核心结果；首要问题是链上未经授权供应超过合法储备覆盖范围，铸赎被暂停。</t>
  </si>
  <si>
    <t>未经授权供应约1,433万USDR和641万EURR，均无对应客户入金和新增储备</t>
  </si>
  <si>
    <t>StablR暂停USDR/EURR铸赎及交易协作，调查未经授权供应并保护合法储备</t>
  </si>
  <si>
    <t>StablR官方披露未经授权供应规模；具体密钥/多签攻陷路径未完全公开</t>
  </si>
  <si>
    <t>2020-11-17</t>
  </si>
  <si>
    <t>Origin Protocol</t>
  </si>
  <si>
    <t>OUSD</t>
  </si>
  <si>
    <t>储备收益型；USDC/USDT/DAI等底层资产支持OUSD</t>
  </si>
  <si>
    <t>OUSD是铸币/重入会计漏洞直接异常生成的收益型稳定币</t>
  </si>
  <si>
    <t>C_CI</t>
  </si>
  <si>
    <t>链上协议—合约实现缺陷</t>
  </si>
  <si>
    <t>OUSD mint路径缺少完整资产校验和重入保护，外部Token回调可重复进入会计流程</t>
  </si>
  <si>
    <t>恶意Token回调重入 → OUSD铸币/rebase重复记账 → 异常OUSD赎回 → 储备被抽走 → OUSD折价</t>
  </si>
  <si>
    <t>发生明显或持续性脱锚/折价，价格稳定性受到实质破坏；约700万—770万美元储备资产损失</t>
  </si>
  <si>
    <t>约700万—770万美元储备资产损失</t>
  </si>
  <si>
    <t>Origin暂停OUSD并补偿受影响用户，之后以更严格安全控制重启</t>
  </si>
  <si>
    <t>2021-06-22—2021-06-29</t>
  </si>
  <si>
    <t>Haven Protocol</t>
  </si>
  <si>
    <t>xUSD</t>
  </si>
  <si>
    <t>Haven</t>
  </si>
  <si>
    <t>加密资产支持／隐私合成资产；XHV与xUSD/xAssets转换</t>
  </si>
  <si>
    <t>xUSD是资产转换验证漏洞导致异常生成的核心稳定资产</t>
  </si>
  <si>
    <t>mint/burn、价格记录与隐私资产转换验证存在多处边界条件和一致性漏洞</t>
  </si>
  <si>
    <t>转换验证漏洞 → xUSD/xBTC等异常生成 → 供应可信度受损 → 协议暂停 → 硬分叉回滚异常状态</t>
  </si>
  <si>
    <t>未以持续脱锚作为主要结果；核心风险是xUSD/xAssets异常增发，协议最终通过硬分叉回滚主要异常状态。</t>
  </si>
  <si>
    <t>异常生成约900万xUSD及其他xAssets；协议通过硬分叉回滚主要异常状态</t>
  </si>
  <si>
    <t>Haven暂停转换并经社区硬分叉回滚，重写mint/burn验证后恢复网络</t>
  </si>
  <si>
    <t>2021-06-28</t>
  </si>
  <si>
    <t>SafeDollar</t>
  </si>
  <si>
    <t>SDO</t>
  </si>
  <si>
    <t>Polygon</t>
  </si>
  <si>
    <t>算法型；SDO与奖励／通缩Token生态</t>
  </si>
  <si>
    <t>SDO是奖励会计漏洞导致天量异常增发并抛售的稳定币</t>
  </si>
  <si>
    <t>奖励公式未正确处理带转账销毁的PLX，反复存取可把lpSupply分母压至极小</t>
  </si>
  <si>
    <t>PLX转账销毁反复压低lpSupply → 单位奖励被极端放大 → SDO天量增发 → 抛售抽干USDC/USDT → 归零</t>
  </si>
  <si>
    <t>发生明显或持续性脱锚/折价，价格稳定性受到实质破坏；约24.8万美元，包含约202,230 USDC与46,000 USDT</t>
  </si>
  <si>
    <t>约24.8万美元，包含约202,230 USDC与46,000 USDT</t>
  </si>
  <si>
    <t>SafeDollar暂停并尝试补偿/重构，但SDO价格归零后未恢复</t>
  </si>
  <si>
    <t>2022/3/23</t>
  </si>
  <si>
    <t>Cashio 伪造抵押物铸币</t>
  </si>
  <si>
    <t>CASH</t>
  </si>
  <si>
    <t>Solana／Ethereum（报告资金去向）</t>
  </si>
  <si>
    <t>加密资产抵押；Saber LP Token抵押铸造CASH</t>
  </si>
  <si>
    <t>CASH是被无有效抵押异常铸造并抛售的核心稳定币</t>
  </si>
  <si>
    <t>抵押账户身份验证不完整，攻击者可构造伪造抵押路径通过铸币校验</t>
  </si>
  <si>
    <t>抵押校验绕过 → CASH无抵押增发 → 兑换真实稳定币 → 流动性被抽干 → CASH接近归零</t>
  </si>
  <si>
    <t>发生明显或持续性脱锚/折价，价格稳定性受到实质破坏；约5,200万美元资产损失，CASH价格几乎归零</t>
  </si>
  <si>
    <t>约5,200万美元资产损失，CASH价格几乎归零</t>
  </si>
  <si>
    <t>Cashio停止正常运行，CASH未恢复有效稳定币功能</t>
  </si>
  <si>
    <t>2022-07-28</t>
  </si>
  <si>
    <t>Nirvana Finance：ANA定价曲线操纵致NIRV失稳</t>
  </si>
  <si>
    <t>NIRV</t>
  </si>
  <si>
    <t>Solana</t>
  </si>
  <si>
    <t>储备型算法稳定币；NIRV依赖ANA与协议金库</t>
  </si>
  <si>
    <t>NIRV是金库被抽空后失去支持并脱锚的稳定币</t>
  </si>
  <si>
    <t>ANA大额买入未按价格曲线正确提高边际价格，攻击者可低价买入后高价卖回金库</t>
  </si>
  <si>
    <t>ANA定价曲线被绕过 → 低价大额买入 → 新高价卖回协议 → 金库被抽干 → NIRV失去支持并脱锚</t>
  </si>
  <si>
    <t>发生明显或持续性脱锚/折价，价格稳定性受到实质破坏；约350万—360万美元金库资产被抽取，NIRV失去有效支撑</t>
  </si>
  <si>
    <t>约350万—360万美元金库资产被抽取，NIRV失去有效支撑</t>
  </si>
  <si>
    <t>Nirvana金库被抽空后停止正常运营，NIRV未恢复稳定币功能</t>
  </si>
  <si>
    <t>2022-08-14</t>
  </si>
  <si>
    <t>Acala Network</t>
  </si>
  <si>
    <t>aUSD</t>
  </si>
  <si>
    <t>Polkadot</t>
  </si>
  <si>
    <t>多抵押稳定币；Acala抵押资产支持aUSD</t>
  </si>
  <si>
    <t>aUSD是奖励配置错误导致异常增发的核心稳定币</t>
  </si>
  <si>
    <t>新iBTC/aUSD池奖励参数/遗留逻辑配置错误，使正常领取奖励路径异常生成aUSD</t>
  </si>
  <si>
    <t>奖励参数错误 → LP操作异常铸aUSD → 供应暴增 → 市场恐慌脱锚 → 链上治理冻结并销毁异常供应</t>
  </si>
  <si>
    <t>发生明显或持续性脱锚/折价，价格稳定性受到实质破坏；异常铸造约30.22亿aUSD；绝大多数被识别、冻结并通过治理销毁</t>
  </si>
  <si>
    <t>异常铸造约30.22亿aUSD；绝大多数被识别、冻结并通过治理销毁</t>
  </si>
  <si>
    <t>Acala通过治理冻结、追踪并销毁绝大多数异常aUSD，后续逐步恢复链上服务</t>
  </si>
  <si>
    <t>2022-11-08</t>
  </si>
  <si>
    <t>Abracadabra旧价借款／新价自清算</t>
  </si>
  <si>
    <t>MIM</t>
  </si>
  <si>
    <t>加密资产超额抵押；Cauldron抵押借出MIM</t>
  </si>
  <si>
    <t>MIM是利用旧/新价格状态不一致完成借款与自清算套利的稳定币</t>
  </si>
  <si>
    <t>借款偿付检查可使用缓存旧价，而清算先刷新新价，导致同一交易采用两套估值</t>
  </si>
  <si>
    <t>旧价通过偿付检查 → 主动刷新新价 → 自己仓位变为可清算 → 自清算套利约11万MIM</t>
  </si>
  <si>
    <t>出现局部或短时价格偏离，未观察到同等程度的全市场持续失稳；攻击者获利约110,911 MIM</t>
  </si>
  <si>
    <t>攻击者获利约110,911 MIM</t>
  </si>
  <si>
    <t>Abracadabra确认旧Cauldron逻辑问题并隔离风险，攻击规模有限且MIM未持续失稳</t>
  </si>
  <si>
    <t>2022-12-23—2022-12-24</t>
  </si>
  <si>
    <t>Defrost Finance</t>
  </si>
  <si>
    <t>H2O</t>
  </si>
  <si>
    <t>Avalanche</t>
  </si>
  <si>
    <t>加密资产抵押；Defrost Vault抵押生成H2O</t>
  </si>
  <si>
    <t>H2O是Defrost抵押借贷体系稳定币，受管理员权限事件波及</t>
  </si>
  <si>
    <t>V1管理员权限被使用以加入恶意抵押品/预言机；权限来源是否外部失窃存在归因争议</t>
  </si>
  <si>
    <t>管理员权限被使用 → 恶意抵押/预言机加入 → 资产被抽走 → H2O体系受损 → 返还资金与退款处置</t>
  </si>
  <si>
    <t>H2O未形成可与资金损失同规模对应的系统性脱锚证据；核心影响是Defrost资金被抽走与权限信任危机。</t>
  </si>
  <si>
    <t>V1损失超过1,200万美元；V2另约17万美元，后续大部分V1资金返还</t>
  </si>
  <si>
    <t>Defrost宣布遭攻击并建立退款方案；大部分V1资金返还，但权限归因争议保留</t>
  </si>
  <si>
    <t>资金流失和owner权限使用明确，但“外部私钥失窃还是内部Rug Pull”无最终公开定论</t>
  </si>
  <si>
    <t>2023-02-03—2023-02-04</t>
  </si>
  <si>
    <t>SperaxUSD</t>
  </si>
  <si>
    <t>USDs</t>
  </si>
  <si>
    <t>Arbitrum</t>
  </si>
  <si>
    <t>抵押／收益型rebase稳定币USDs</t>
  </si>
  <si>
    <t>USDs是rebase余额迁移错误导致异常余额产生的稳定币</t>
  </si>
  <si>
    <t>rebase账户迁移在“先向未部署合约地址转币、后部署合约”边界场景错误解释credits</t>
  </si>
  <si>
    <t>迁移credits误作余额 → 11枚USDs触发数十亿异常余额 → 分批卖出真实资产 → 协议暂停与修复</t>
  </si>
  <si>
    <t>异常USDs被分批卖出造成短时市场压力，但实际变现约30.9万USDs，未形成与97.9亿账面异常余额同规模的持续脱锚。</t>
  </si>
  <si>
    <t>账面异常余额约97.9亿USDs；实际卖出约30.9万USDs</t>
  </si>
  <si>
    <t>Sperax快速暂停合约、修复迁移逻辑并处理异常供应，USDs恢复运行</t>
  </si>
  <si>
    <t>2023-02-16</t>
  </si>
  <si>
    <t>Platypus Finance</t>
  </si>
  <si>
    <t>USP</t>
  </si>
  <si>
    <t>超额抵押稳定币；LP资产抵押借出USP</t>
  </si>
  <si>
    <t>USP是债务仍在但抵押可被抽离后形成不足额支持的稳定币</t>
  </si>
  <si>
    <t>emergencyWithdraw在债务未清偿时允许抵押品被取回，提款后偿付能力未被正确验证</t>
  </si>
  <si>
    <t>紧急提款偿付检查缺口 → 借出USP后取回抵押 → 无抵押USP进入市场 → 真实稳定币被换走 → USP脱锚</t>
  </si>
  <si>
    <t>发生明显或持续性脱锚/折价，价格稳定性受到实质破坏；三轮相关攻击合计约919万美元；首轮约850万美元</t>
  </si>
  <si>
    <t>三轮相关攻击合计约919万美元；首轮约850万美元</t>
  </si>
  <si>
    <t>Platypus暂停协议并开展资产回收、补偿和技术修复；USP未恢复原有规模</t>
  </si>
  <si>
    <t>2023-02-21</t>
  </si>
  <si>
    <t>Kujira USK Margin估值漏洞</t>
  </si>
  <si>
    <t>USK</t>
  </si>
  <si>
    <t>Kujira</t>
  </si>
  <si>
    <t>加密资产超额抵押；USK抵押债务体系</t>
  </si>
  <si>
    <t>USK是Margin合约错误估值下被异常铸造并形成坏账的稳定币</t>
  </si>
  <si>
    <t>USK Margin对买入资产价值/订单执行校验错误，可用新铸USK高价接攻击者自有ETH卖单</t>
  </si>
  <si>
    <t>Margin错误估值 → 新铸USK高价买入攻击者ETH → USK坏账 → 团队用USDC托底稳定性</t>
  </si>
  <si>
    <t>USK整体锚定未出现持续性崩溃；团队以USDC补足约23.6万USK坏账以维持抵押状态。</t>
  </si>
  <si>
    <t>形成约23.6万USK坏账，约26万美元量级</t>
  </si>
  <si>
    <t>Kujira以USDC买入/补足风险资产并修复Margin，USK维持整体抵押状态</t>
  </si>
  <si>
    <t>2023-05-06</t>
  </si>
  <si>
    <t>DEUS Finance</t>
  </si>
  <si>
    <t>DEI</t>
  </si>
  <si>
    <t>BSC、Arbitrum</t>
  </si>
  <si>
    <t>混合抵押稳定币；DEI依赖抵押与DeFi流动性</t>
  </si>
  <si>
    <t>DEI是Token授权逻辑缺陷直接影响的稳定币资产</t>
  </si>
  <si>
    <t>DEI burnFrom读取allowance时颠倒owner/spender索引，破坏授权语义</t>
  </si>
  <si>
    <t>allowance索引错误 → 授权关系被颠倒 → 用户DEI可被转走 → 多链损失与DEI大幅下跌</t>
  </si>
  <si>
    <t>发生明显或持续性脱锚/折价，价格稳定性受到实质破坏；跨链损失约630万—650万美元</t>
  </si>
  <si>
    <t>跨链损失约630万—650万美元</t>
  </si>
  <si>
    <t>DEUS暂停DEI合约并协调白帽/攻击资金返还；项目后续逐步退出DEI</t>
  </si>
  <si>
    <t>2023-07-24</t>
  </si>
  <si>
    <t>Palmswap</t>
  </si>
  <si>
    <t>USDP</t>
  </si>
  <si>
    <t>DEX内部稳定资产；Vault资产支持USDP/PLP体系</t>
  </si>
  <si>
    <t>USDP是Palmswap内部结算资产；核心漏洞发生在PLP/Vault份额定价</t>
  </si>
  <si>
    <t>Vault资产余额可在不同比例铸造PLP的情况下被直接增加，导致PLP单位价值被人为抬高</t>
  </si>
  <si>
    <t>Vault资产增加但PLP供应不增 → PLP单价虚高 → 高价赎回 → 约90万USDT被抽走</t>
  </si>
  <si>
    <t>未观察到有证据支持的系统性脱锚；主要影响体现为供应、储备、资金损失、兑付或服务可用性变化。</t>
  </si>
  <si>
    <t>攻击者获利约901,455 USDT，后返还约80%</t>
  </si>
  <si>
    <t>攻击者返还约80%资金，Palmswap修复Vault/manager限制并恢复部分服务</t>
  </si>
  <si>
    <t>2023-11-10</t>
  </si>
  <si>
    <t>Raft Finance</t>
  </si>
  <si>
    <t>R</t>
  </si>
  <si>
    <t>加密资产超额抵押；LST抵押借出R</t>
  </si>
  <si>
    <t>R是虚假抵押份额支持下被异常借出的稳定币</t>
  </si>
  <si>
    <t>捐赠可操纵collateralIndex，极小额存款又因向上舍入产生不应存在的抵押份额</t>
  </si>
  <si>
    <t>捐赠抬高collateralIndex → 向上舍入制造虚假share → 抵押能力虚增 → R被异常借出 → R脱锚</t>
  </si>
  <si>
    <t>发生明显或持续性脱锚/折价，价格稳定性受到实质破坏；约670万R被异常借出；攻击者后续误将约1,570 ETH发送至不可恢复地址</t>
  </si>
  <si>
    <t>约670万R被异常借出；攻击者后续误将约1,570 ETH发送至不可恢复地址</t>
  </si>
  <si>
    <t>Raft暂停R铸造并制定恢复/赎回方案，R未恢复原有稳定币生态规模</t>
  </si>
  <si>
    <t>2024-01-30</t>
  </si>
  <si>
    <t>Abracadabra Money</t>
  </si>
  <si>
    <t>MIM是债务份额会计错误导致无充分抵押借出的稳定币</t>
  </si>
  <si>
    <t>债务elastic/base在特定还款路径后失配，舍入误差可被重复放大</t>
  </si>
  <si>
    <t>债务base/elastic失配 → 舍入偏差反复放大 → 债务被低估 → 约650万MIM异常借出 → MIM短时脱锚</t>
  </si>
  <si>
    <t>发生明显或持续性脱锚/折价，价格稳定性受到实质破坏；约649万—650万美元MIM被异常借出</t>
  </si>
  <si>
    <t>约649万—650万美元MIM被异常借出</t>
  </si>
  <si>
    <t>Abracadabra隔离受影响Cauldron、修复债务会计并推进资金追踪；MIM随后回锚</t>
  </si>
  <si>
    <t>2024-03-28</t>
  </si>
  <si>
    <t>Prisma Finance</t>
  </si>
  <si>
    <t>mkUSD</t>
  </si>
  <si>
    <t>加密资产超额抵押；LST/LRT抵押借出mkUSD</t>
  </si>
  <si>
    <t>mkUSD是Prisma仓位债务稳定币，攻击重点在用户抵押仓位权限</t>
  </si>
  <si>
    <t>迁移辅助合约flash-loan回调缺少对合法迁移调用链和参数的充分校验</t>
  </si>
  <si>
    <t>迁移回调校验不足 → 借用用户delegate权限关闭仓位 → 抵押物被抽走 → Prisma损失与仓位风险</t>
  </si>
  <si>
    <t>mkUSD未出现由该漏洞引发的系统性锚定崩溃；主要影响是Prisma用户抵押物被盗和协议暂停。</t>
  </si>
  <si>
    <t>约1,200万美元wstETH等抵押资产被转走</t>
  </si>
  <si>
    <t>Prisma暂停协议、修复迁移路径并与攻击者/执法推进资金追索</t>
  </si>
  <si>
    <t>2024-07-30</t>
  </si>
  <si>
    <t>Anzen Finance Blast Vault错误</t>
  </si>
  <si>
    <t>USDz（Anzen；Blast Vault）</t>
  </si>
  <si>
    <t>Blast</t>
  </si>
  <si>
    <t>RWA/私人信贷支持的美元稳定币USDz</t>
  </si>
  <si>
    <t>USDz是Blast Vault漏洞中被白帽取得的稳定币</t>
  </si>
  <si>
    <t>Blast Vault的数值/decimal处理存在错误，使白帽可取得约50万USDz</t>
  </si>
  <si>
    <t>Blast Vault数值处理错误 → 白帽取得USDz → 项目回购/协商返还 → 绝大部分资金回收</t>
  </si>
  <si>
    <t>USDz未出现持续脱锚；白帽事件主要造成短时安全处置和回购压力。</t>
  </si>
  <si>
    <t>白帽取得约50万USDz；约45万美元等值资产返还，约5万美元作为赏金</t>
  </si>
  <si>
    <t>白帽返还约90%资产，Anzen支付赏金并修复Blast Vault，USDz未出现持续失稳</t>
  </si>
  <si>
    <t>Blast Vault、50万USDz与返还事实可核；公开技术细节不足以进一步确定完整漏洞路径</t>
  </si>
  <si>
    <t>2025-03-01</t>
  </si>
  <si>
    <t>Zoth／ZeUSD：抵押计量错误铸币</t>
  </si>
  <si>
    <t>ZeUSD；USDC为入金，wM为换入抵押品</t>
  </si>
  <si>
    <t>Ethereum／Zoth</t>
  </si>
  <si>
    <t>RWA/抵押型；USDC换入抵押资产后铸造ZeUSD</t>
  </si>
  <si>
    <t>ZeUSD是抵押计量错误下被超额铸造的稳定币</t>
  </si>
  <si>
    <t>抵押品计量/单位换算错误，使少量USDC换入资产后被记成远高于真实价值的ZeUSD抵押</t>
  </si>
  <si>
    <t>抵押单位计量错误 → 抵押价值虚高 → ZeUSD超额铸造 → 换出真实资产 → 协议损失</t>
  </si>
  <si>
    <t>攻击者获利约28.5万美元</t>
  </si>
  <si>
    <t>Zoth暂停受影响铸币/抵押路径并修复计量逻辑，ZeUSD事件损失被隔离</t>
  </si>
  <si>
    <t>2025-09-16（植入）—2025-12-04（利用）</t>
  </si>
  <si>
    <t>USPD：部署初始化劫持与延迟利用</t>
  </si>
  <si>
    <t>USPD（可升级代理发行）</t>
  </si>
  <si>
    <t>Ethereum可升级代理体系</t>
  </si>
  <si>
    <t>可升级代理发行的美元稳定币；铸币权由代理权限控制</t>
  </si>
  <si>
    <t>USPD是部署代理被植入恶意中间层后被异常铸造的稳定币</t>
  </si>
  <si>
    <t>部署与initialize未原子完成，攻击者抢先初始化并在代理与合法实现之间植入恶意CPIMP</t>
  </si>
  <si>
    <t>部署初始化被抢先 → CPIMP长期潜伏 → 攻击者启用隐藏控制权 → 异常铸USPD/转移stETH → 协议处置</t>
  </si>
  <si>
    <t>异常铸造约9,800万USPD并转移约232 stETH；公开安全数据库记录实际损失约100万美元级</t>
  </si>
  <si>
    <t>USPD公开CPIMP复盘并修复代理/部署流程，异常供应与损失进入处置</t>
  </si>
  <si>
    <t>USPD官方CPIMP post-mortem提供部署、潜伏和利用链路</t>
  </si>
  <si>
    <t>2025-10-04 12:54:23 UTC</t>
  </si>
  <si>
    <t>Abracadabra：旧Cauldron V4偿付检查绕过</t>
  </si>
  <si>
    <t>Ethereum／Abracadabra旧Cauldron V4</t>
  </si>
  <si>
    <t>MIM是旧Cauldron偿付检查被绕过后异常借出的稳定币</t>
  </si>
  <si>
    <t>旧Cauldron V4偿付检查存在状态/逻辑缺口，可在抵押不足时仍通过借款条件</t>
  </si>
  <si>
    <t>偿付检查绕过 → 抵押不足仍可借MIM → 约179万MIM被提取 → 旧市场被隔离/修复</t>
  </si>
  <si>
    <t>约179万MIM被异常借出/提取</t>
  </si>
  <si>
    <t>Abracadabra暂停旧Cauldron V4相关市场并修复偿付检查，损失约179万MIM</t>
  </si>
  <si>
    <t>2022-03-15</t>
  </si>
  <si>
    <t>Fantom</t>
  </si>
  <si>
    <t>DEI价格被操纵后触发异常清算，是借贷体系的稳定资产</t>
  </si>
  <si>
    <t>C_RD</t>
  </si>
  <si>
    <t>链上协议—运行依赖风险</t>
  </si>
  <si>
    <t>借贷系统采用可被闪电贷推动的DEI现货价格，正常仓位可被错误判定为可清算</t>
  </si>
  <si>
    <t>DEI现货价被闪电贷压低/扰动 → 正常仓位被判清算 → 攻击者获利 → 协议形成损失</t>
  </si>
  <si>
    <t>出现局部或短时价格偏离，未观察到同等程度的全市场持续失稳；攻击者获利约300万美元</t>
  </si>
  <si>
    <t>攻击者获利约300万美元</t>
  </si>
  <si>
    <t>DEUS修补价格预言机，但一个多月后再次发生不同预言机攻击</t>
  </si>
  <si>
    <t>2022-04-28</t>
  </si>
  <si>
    <t>DEI是被操纵估值并用于异常借贷的稳定币</t>
  </si>
  <si>
    <t>DEI定价依赖可操纵的流动性市场/VWAP输入，异常交易可进入价格计算</t>
  </si>
  <si>
    <t>DEI市场/VWAP被操纵 → 抵押价值虚高 → 过量借出资产 → 协议损失与DEI短时偏离</t>
  </si>
  <si>
    <t>出现局部或短时价格偏离，未观察到同等程度的全市场持续失稳；攻击者收益约1,340万美元；安全机构估算协议影响约1,570万美元</t>
  </si>
  <si>
    <t>攻击者收益约1,340万美元；安全机构估算协议影响约1,570万美元</t>
  </si>
  <si>
    <t>DEUS暂停受影响借贷与价格路径并调整预言机；DEI恢复后仍经历后续安全事件</t>
  </si>
  <si>
    <t>2022-05-21</t>
  </si>
  <si>
    <t>bDollar</t>
  </si>
  <si>
    <t>BDO</t>
  </si>
  <si>
    <t>无抵押算法型；BDO seigniorage生态</t>
  </si>
  <si>
    <t>BDO是被操纵价格并触发协议自动回购机制的算法稳定币</t>
  </si>
  <si>
    <t>Community Fund自动回购机制缺少对BDO异常价格、滑点和池深的充分约束</t>
  </si>
  <si>
    <t>先推高BDO → 触发Community Fund自动买入 → 协议成为高价接盘方 → 攻击者卖出BDO获利</t>
  </si>
  <si>
    <t>BDO价格在攻击过程中被人为推高并随后回落，属于短时操纵而非自然长期脱锚；攻击者获利约70万—80万美元。</t>
  </si>
  <si>
    <t>攻击者获得约2,381 BNB，约70万—80万美元</t>
  </si>
  <si>
    <t>bDollar相关生态受到流动性与价格冲击，自动回购机制暴露后被调整</t>
  </si>
  <si>
    <t>2023-02-01</t>
  </si>
  <si>
    <t>BonqDAO（Bonq 协议）</t>
  </si>
  <si>
    <t>BEUR</t>
  </si>
  <si>
    <t>加密资产超额抵押；WALBT等抵押铸借BEUR</t>
  </si>
  <si>
    <t>BEUR是由被操纵抵押价值支持的借出稳定币</t>
  </si>
  <si>
    <t>Bonq对WALBT价格源的抗操纵约束不足，抵押估值可被短时大幅抬高/压低</t>
  </si>
  <si>
    <t>WALBT价格操纵 → 抵押价值虚高/虚低 → 超额借BEUR并清算他人 → 坏账与BEUR压力</t>
  </si>
  <si>
    <t>出现局部或短时价格偏离，未观察到同等程度的全市场持续失稳；协议层名义影响约1.2亿美元；大量BEUR/WALBT缺乏足够流动性，攻击者实际可兑现收益显著更低</t>
  </si>
  <si>
    <t>协议层名义影响约1.2亿美元；大量BEUR/WALBT缺乏足够流动性，攻击者实际可兑现收益显著更低</t>
  </si>
  <si>
    <t>Bonq暂停受影响市场并处置坏账；BEUR生态流动性和信用受到长期冲击</t>
  </si>
  <si>
    <t>Immunefi/Omniscia等技术复盘一致；名义损失与实际可兑现收益需区分</t>
  </si>
  <si>
    <t>2023-08-13</t>
  </si>
  <si>
    <t>Zunami Protocol</t>
  </si>
  <si>
    <t>UZD</t>
  </si>
  <si>
    <t>收益型储备稳定币；策略资产支持UZD</t>
  </si>
  <si>
    <t>UZD的内部资产价值因策略储备估值被操纵而虚高</t>
  </si>
  <si>
    <t>策略总资产估值依赖可操纵的SDT现货价格，且外部捐赠可同步放大资产数量</t>
  </si>
  <si>
    <t>捐赠SDT+操纵SDT价格 → 策略总资产虚增 → UZD内部价值被抬高 → 按虚高价值赎回真实资产</t>
  </si>
  <si>
    <t>发生明显或持续性脱锚/折价，价格稳定性受到实质破坏；约210万—220万美元资产损失</t>
  </si>
  <si>
    <t>约210万—220万美元资产损失</t>
  </si>
  <si>
    <t>Zunami暂停相关稳定币/策略并推进补偿与重构，UZD市场规模显著收缩</t>
  </si>
  <si>
    <t>2023-11-07</t>
  </si>
  <si>
    <t>TheStandard／EUROs抵押交换漏洞</t>
  </si>
  <si>
    <t>EUROs（被超额铸造）；PAXG为被利用抵押资产</t>
  </si>
  <si>
    <t>加密资产超额抵押；Smart Vault抵押铸造EUROs</t>
  </si>
  <si>
    <t>EUROs是以被异常置换/低估后的抵押仓位支持而超额借出的稳定币</t>
  </si>
  <si>
    <t>抵押swap缺少充分滑点和独立价值校验，攻击者可自建低流动性PAXG市场制造劣价兑换</t>
  </si>
  <si>
    <t>自建PAXG薄池 → Vault按劣价交换高价值抵押 → 仓位抵押价值骤降 → EUROs形成不足额支持</t>
  </si>
  <si>
    <t>EUROs未出现长期系统性脱锚；核心影响是攻击仓位形成不足额抵押和约29万美元损失。</t>
  </si>
  <si>
    <t>约29万美元级损失/不足额抵押，主要资金后续得到返还</t>
  </si>
  <si>
    <t>TheStandard移除/限制相关collateral swap能力，主要资金后续返还</t>
  </si>
  <si>
    <t>Dedaub与项目资料支持；稳定币为EUROs，PAXG是被利用的抵押资产</t>
  </si>
  <si>
    <t>2025-06-26；技术报告2025-07-14</t>
  </si>
  <si>
    <t>Resupply reUSD：空金库取价与超额借出</t>
  </si>
  <si>
    <t>reUSD、crvUSD；wstUSR市场抵押份额</t>
  </si>
  <si>
    <t>抵押借贷稳定币；依赖crvUSD市场与wstUSR抵押份额</t>
  </si>
  <si>
    <t>reUSD是抵押市场估值被操纵后被超额借出的稳定币</t>
  </si>
  <si>
    <t>空/低流动性金库价格可被少量操作极端扭曲，wstUSR抵押份额因此被严重高估</t>
  </si>
  <si>
    <t>低流动性价格被极端扭曲 → wstUSR抵押份额虚高 → 大量reUSD借出 → 坏账/损失约千万美元</t>
  </si>
  <si>
    <t>reUSD未以持续脱锚作为事件核心；主要后果是抵押估值错误造成约950万—1,000万美元坏账。</t>
  </si>
  <si>
    <t>协议损失约950万—1,000万美元</t>
  </si>
  <si>
    <t>Resupply暂停受影响市场并推进赔付/重构，损失形成协议坏账</t>
  </si>
  <si>
    <t>2026-04-16</t>
  </si>
  <si>
    <t>Money on Chain：预言机漏洞触发DOC铸赎暂停</t>
  </si>
  <si>
    <t>DOC</t>
  </si>
  <si>
    <t>Rootstock／Money on Chain</t>
  </si>
  <si>
    <t>BTC超额抵押稳定币DOC；铸赎依赖BTC/USD预言机</t>
  </si>
  <si>
    <t>DOC因OMoC预言机基础设施严重漏洞被主动暂停铸赎；漏洞未被利用</t>
  </si>
  <si>
    <t>发现OMoC预言机基础设施严重漏洞，继续铸赎可能使DOC抵押与定价计算面临安全风险</t>
  </si>
  <si>
    <t>发现OMoC预言机漏洞 → 主动启动panic button暂停DOC铸赎 → 修复与验证 → 恢复服务</t>
  </si>
  <si>
    <t>DOC未发生已确认脱锚；协议主动停铸停赎以避免预言机漏洞被利用并演化为错误兑付。</t>
  </si>
  <si>
    <t>无已确认资金损失；漏洞未被利用，未发生错误报价</t>
  </si>
  <si>
    <t>Money on Chain主动启动panic button暂停DOC铸赎，完成修复与验证后恢复服务</t>
  </si>
  <si>
    <t>官方复盘明确为OMoC预言机基础设施严重漏洞；漏洞未被利用，未发生错误报价或用户资金损失</t>
  </si>
  <si>
    <t>2018年3月持续讨论</t>
  </si>
  <si>
    <t>NuBits：2018年锚定与分层流动性压力</t>
  </si>
  <si>
    <t>NuBits／NBT；NuShares为支持资产</t>
  </si>
  <si>
    <t>多交易市场／NuBits</t>
  </si>
  <si>
    <t>无抵押算法型；NuShares+流动性提供者维持NBT锚定</t>
  </si>
  <si>
    <t>NuBits/NBT是流动性支持枯竭后长期偏离1美元的算法稳定币</t>
  </si>
  <si>
    <t>M_LI</t>
  </si>
  <si>
    <t>市场运行—流动性风险</t>
  </si>
  <si>
    <t>锚定主要依赖有限流动性提供者和NuShares融资支持；市场深度与支持资金持续不足</t>
  </si>
  <si>
    <t>流动性支持资金枯竭 → 买盘不足 → NBT跌破1美元 → 市场深度进一步下降 → 长期脱锚</t>
  </si>
  <si>
    <t>发生明显或持续性脱锚/折价，价格稳定性受到实质破坏；2018年长期脱锚，NBT在多个阶段显著低于1美元</t>
  </si>
  <si>
    <t>2018年长期脱锚，NBT在多个阶段显著低于1美元</t>
  </si>
  <si>
    <t>NuBits未能恢复长期稳定锚定，项目流动性和市场影响力持续萎缩</t>
  </si>
  <si>
    <t>M</t>
  </si>
  <si>
    <t>长期脱锚事实充分；早期NuBits机制和流动性数据主要依赖项目社区历史资料</t>
  </si>
  <si>
    <t>2022-05-07—2022-05-13</t>
  </si>
  <si>
    <t>Terra／UST 脱锚</t>
  </si>
  <si>
    <t>UST（原生 Terra；本文交易为 Ethereum Wormhole UST）</t>
  </si>
  <si>
    <t>Terra／Ethereum</t>
  </si>
  <si>
    <t>算法型；UST-LUNA内生铸赎</t>
  </si>
  <si>
    <t>UST是直接失稳对象；LUNA承担内生赎回与吸收退出压力的机制角色</t>
  </si>
  <si>
    <t>大额UST退出与Curve流动性失衡首先削弱锚定，市场套利随后通过LUNA铸赎吸收压力</t>
  </si>
  <si>
    <t>流动性集中退出 → UST跌破锚定 → LUNA赎回增发 → LUNA下跌 → 更大规模赎回与死亡螺旋</t>
  </si>
  <si>
    <t>发生明显或持续性脱锚/折价，价格稳定性受到实质破坏；UST接近归零、LUNA价格崩溃；生态市值损失达到数百亿美元量级</t>
  </si>
  <si>
    <t>UST接近归零、LUNA价格崩溃；生态市值损失达到数百亿美元量级</t>
  </si>
  <si>
    <t>Terra Classic生态进入崩溃与重组；UST更名USTC后长期未恢复1美元锚定</t>
  </si>
  <si>
    <t>M→C→M</t>
  </si>
  <si>
    <t>2025/4/2</t>
  </si>
  <si>
    <t>FDUSD：储备争议与场所价格偏离</t>
  </si>
  <si>
    <t>First Digital FDUSD；关联争议涉及TUSD托管方</t>
  </si>
  <si>
    <t>Binance现货；发行和储备主体</t>
  </si>
  <si>
    <t>FDUSD是受托管机构声誉冲击而短时折价的稳定币</t>
  </si>
  <si>
    <t>针对First Digital Trust偿付能力的公开质疑引发持有人抢跑卖出，先于事实核验形成价格冲击</t>
  </si>
  <si>
    <t>托管方偿付质疑 → FDUSD集中卖出 → 局部市场折价约0.87 → 储备鉴证与赎回验证 → 快速回锚</t>
  </si>
  <si>
    <t>出现局部或短时价格偏离，未观察到同等程度的全市场持续失稳；FDUSD最低约0.87美元，数小时内恢复至接近1美元</t>
  </si>
  <si>
    <t>FDUSD最低约0.87美元，数小时内恢复至接近1美元</t>
  </si>
  <si>
    <t>First Digital否认资不抵债并继续处理赎回，FDUSD在数小时内恢复接近1美元</t>
  </si>
  <si>
    <t>价格、鉴证与公开争议均可核；“托管方资不抵债”是指控而非既成事实</t>
  </si>
  <si>
    <t>2025-10-10—2025-10-11</t>
  </si>
  <si>
    <t>USDe 场所价格偏离</t>
  </si>
  <si>
    <t>USDe（非 sUSDe）；Binance USDEUSDT</t>
  </si>
  <si>
    <t>中心化场所；对照链上市场</t>
  </si>
  <si>
    <t>合成美元；现货/衍生品delta-neutral对冲支持USDe</t>
  </si>
  <si>
    <t>USDe是特定交易场所短时价格偏离对象，核心储备/对冲未同步失效</t>
  </si>
  <si>
    <t>极端去杠杆下Binance订单簿买盘不足、清算集中，场所价格与链上/其他市场短时脱节</t>
  </si>
  <si>
    <t>极端行情去杠杆 → Binance清算与卖单集中 → 订单簿流动性不足 → 局部价格跌至约0.65 → 套利后修复</t>
  </si>
  <si>
    <t>出现局部或短时价格偏离，未观察到同等程度的全市场持续失稳；Binance最低约0.65美元、低于0.90美元约23分钟；其他主要市场同期明显更接近1美元</t>
  </si>
  <si>
    <t>Binance最低约0.65美元、低于0.90美元约23分钟；其他主要市场同期明显更接近1美元</t>
  </si>
  <si>
    <t>极端行情结束与套利恢复后USDe快速回到正常区间，事件未演化为全市场偿付危机</t>
  </si>
  <si>
    <t>2025-11-06</t>
  </si>
  <si>
    <t>Stables Labs USDX：失稳与借贷市场处置</t>
  </si>
  <si>
    <t>Stables Labs USDX／sUSDX</t>
  </si>
  <si>
    <t>Lista／PancakeSwap及相关借贷市场</t>
  </si>
  <si>
    <t>合成美元；抵押资产与delta-neutral对冲策略</t>
  </si>
  <si>
    <t>USDX是失稳对象，并在多个借贷市场中作为抵押/债务资产放大风险</t>
  </si>
  <si>
    <t>USDX市场流动性与借贷抵押结构同时恶化；公开资料尚不能唯一确定最早技术触发点</t>
  </si>
  <si>
    <t>流动性恶化/高杠杆借贷压力 → USDX跌破1美元 → 抵押品价值下降 → 强制清算与二次卖压 → 深度脱锚</t>
  </si>
  <si>
    <t>发生明显或持续性脱锚/折价，价格稳定性受到实质破坏；USDX从1美元快速跌破0.60美元并进一步失稳，相关借贷市场启动强制清算</t>
  </si>
  <si>
    <t>USDX从1美元快速跌破0.60美元并进一步失稳，相关借贷市场启动强制清算</t>
  </si>
  <si>
    <t>相关借贷协议执行强制清算和风险隔离；USDX信用与市场流动性受到持续冲击</t>
  </si>
  <si>
    <t>M→E→M</t>
  </si>
  <si>
    <t>USDX严重脱锚和强制清算可核，但公开证据不足以唯一确定最早的单一技术触发点</t>
  </si>
  <si>
    <t>2020-12—2021-02（主要失稳窗口）</t>
  </si>
  <si>
    <t>ESD：2020年末至2021年初收缩困境</t>
  </si>
  <si>
    <t>Empty Set Dollar V1（ESD）；不是DSD</t>
  </si>
  <si>
    <t>Ethereum主网；ESD/USDC Uniswap V2</t>
  </si>
  <si>
    <t>无抵押算法型；rebase/coupon供给调节</t>
  </si>
  <si>
    <t>ESD是依赖coupon等市场参与机制恢复锚定的算法稳定币</t>
  </si>
  <si>
    <t>M_PR</t>
  </si>
  <si>
    <t>市场运行—锚定修复风险</t>
  </si>
  <si>
    <t>价格低于1美元后依赖用户主动销毁ESD换取未来coupon，收缩激励不足以吸引参与者</t>
  </si>
  <si>
    <t>ESD跌破1美元 → coupon收缩机制需要用户主动烧币 → 参与不足 → 供应无法及时收缩 → 长期脱锚</t>
  </si>
  <si>
    <t>发生明显或持续性脱锚/折价，价格稳定性受到实质破坏；ESD供应曾达到约5.5亿美元量级，随后长期跌破1美元并失去流动性</t>
  </si>
  <si>
    <t>ESD供应曾达到约5.5亿美元量级，随后长期跌破1美元并失去流动性</t>
  </si>
  <si>
    <t>ESD长期低于1美元并失去主要流动性，算法稳定机制事实上退出主流使用</t>
  </si>
  <si>
    <t>2021-04-03启动；2021-04-06—04-08首轮压力期</t>
  </si>
  <si>
    <t>FEI：2021年4月启动与退出受限</t>
  </si>
  <si>
    <t>FEI V1／ETH PCV</t>
  </si>
  <si>
    <t>Ethereum主网；Uniswap激励池与其他场所</t>
  </si>
  <si>
    <t>协议控制价值PCV；ETH资产+Direct Incentives稳定机制</t>
  </si>
  <si>
    <t>FEI是Direct Incentives和PCV机制承压下折价的稳定币</t>
  </si>
  <si>
    <t>Direct Incentives在压力期提高卖出成本，PCV不可按传统1:1储备方式直接赎回</t>
  </si>
  <si>
    <t>FEI折价 → Direct Incentives提高卖出惩罚 → 退出摩擦上升 → 套利/需求不足 → 回锚缓慢</t>
  </si>
  <si>
    <t>发生明显或持续性脱锚/折价，价格稳定性受到实质破坏；FEI上线后持续折价；同期另有Direct Incentives漏洞并支付30万美元赏金</t>
  </si>
  <si>
    <t>FEI上线后持续折价；同期另有Direct Incentives漏洞并支付30万美元赏金</t>
  </si>
  <si>
    <t>Fei通过机制调整、激励和后续协议升级改善锚定，V1设计被逐步替代</t>
  </si>
  <si>
    <t>2025-05-30（项目回锚说明）</t>
  </si>
  <si>
    <t>Synthetix sUSD：债务管理调整后的回锚</t>
  </si>
  <si>
    <t>sUSD</t>
  </si>
  <si>
    <t>Synthetix债务池与公开市场</t>
  </si>
  <si>
    <t>合成资产债务池；sUSD由Synthetix债务体系支持</t>
  </si>
  <si>
    <t>sUSD是债务激励变化后缺乏足够买盘修复锚定的稳定币</t>
  </si>
  <si>
    <t>债务制度调整削弱了持有人主动买入/承担sUSD债务的激励，二级市场修复力量不足</t>
  </si>
  <si>
    <t>债务激励调整 → 买入sUSD承担债务的经济动力下降 → 折价扩大 → 财政回购/参数调整 → 部分回锚</t>
  </si>
  <si>
    <t>发生明显或持续性脱锚/折价，价格稳定性受到实质破坏；sUSD一度约0.70美元；Synthetix使用约200万美元财政资金等措施推动回锚</t>
  </si>
  <si>
    <t>sUSD一度约0.70美元；Synthetix使用约200万美元财政资金等措施推动回锚</t>
  </si>
  <si>
    <t>Synthetix通过财政回购、债务激励与参数调整推动sUSD回锚，但持续监控仍必要</t>
  </si>
  <si>
    <t>2021-06-16—2021-06-17</t>
  </si>
  <si>
    <t>IRON／TITAN：Polygon 2021年6月失稳</t>
  </si>
  <si>
    <t>IRON V1／TITAN；不是BSC IRON／STEEL</t>
  </si>
  <si>
    <t>Polygon主网</t>
  </si>
  <si>
    <t>部分抵押；约75% USDC+25% TITAN</t>
  </si>
  <si>
    <t>IRON是发生挤兑与脱锚的部分抵押稳定币，TITAN承担内生吸收机制</t>
  </si>
  <si>
    <t>M_CR</t>
  </si>
  <si>
    <t>市场运行—信心挤兑风险</t>
  </si>
  <si>
    <t>TITAN价格下跌触发IRON赎回，赎回又增发/抛售TITAN并进一步削弱市场信心</t>
  </si>
  <si>
    <t>TITAN下跌 → IRON赎回增加 → 更多TITAN被铸出并抛售 → TITAN归零 → IRON进一步挤兑脱锚</t>
  </si>
  <si>
    <t>发生明显或持续性脱锚/折价，价格稳定性受到实质破坏；TITAN从约60美元跌近0；IRON一度跌至0.75美元以下</t>
  </si>
  <si>
    <t>TITAN从约60美元跌近0；IRON一度跌至0.75美元以下</t>
  </si>
  <si>
    <t>Polygon版IRON/TITAN体系崩溃，TITAN几乎归零，IRON未恢复原有稳定机制</t>
  </si>
  <si>
    <t>2026-02-23</t>
  </si>
  <si>
    <t>WLFI/USD1：负面信息冲击与短时价格偏离</t>
  </si>
  <si>
    <t>World Liberty Financial USD1</t>
  </si>
  <si>
    <t>社交信息与聚合报价；Binance USD1/USDT现货</t>
  </si>
  <si>
    <t>USD1为负面信息及项目信任扰动中出现短时市场价格偏离的稳定币；集中赎回未证实。</t>
  </si>
  <si>
    <t>WLFI相关负面信息与项目信任担忧出现，伴随USD1短时卖压；未证实更早的价值支撑、协议或外部服务实质性异常。</t>
  </si>
  <si>
    <t>负面信息与信任担忧 → USD1短时卖压及价格偏离 → 报价恢复接近平价</t>
  </si>
  <si>
    <t>新闻转引的聚合报价最低约0.994美元；Binance USD1/USDT小时K线最低0.9802 USDT/USD1（2026-02-23 13:00–13:59 UTC），该小时收盘0.9974，15:00小时收盘0.9990。</t>
  </si>
  <si>
    <t>聚合报价约0.994美元与Binance现货最低0.9802 USDT/USD1属于不同观测口径；实际兑付损失和集中赎回规模未取得。</t>
  </si>
  <si>
    <t>WLFI否认智能合约或钱包受损，并称USD1储备充足；市场报价随后恢复接近平价。协调攻击归因来自项目方主张。</t>
  </si>
  <si>
    <t>原始现货行情确认短时价格偏离；账号入侵、付费传播和WLFI代币做空为项目方主张，未取得独立技术调查证据；集中赎回与兑付损失未证实。</t>
  </si>
  <si>
    <t>2017-11-19</t>
  </si>
  <si>
    <t>Tether</t>
  </si>
  <si>
    <t>Omni Layer、Ethereum</t>
  </si>
  <si>
    <t>法币储备型；USDT由发行人储备与赎回承诺支撑</t>
  </si>
  <si>
    <t>USDT是发行方Treasury被盗资产，稳定机制本身未被攻破</t>
  </si>
  <si>
    <t>E_IN</t>
  </si>
  <si>
    <t>外部生态—外部集成风险</t>
  </si>
  <si>
    <t>Tether Treasury/后台钱包基础设施被未授权访问并转出USDT</t>
  </si>
  <si>
    <t>Treasury被未授权转账 → 约3095万USDT进入攻击地址 → 发行方拒绝赎回/冻结 → 生态阻断流通</t>
  </si>
  <si>
    <t>USDT未出现系统性脱锚；发行方通过拒绝赎回和黑名单处置被盗Token，市场影响主要是可用性与中心化控制讨论。</t>
  </si>
  <si>
    <t>30,950,010 USDT从Tether Treasury被未授权转出</t>
  </si>
  <si>
    <t>Tether暂停相关钱包服务、标记被盗Token并通过Omni黑名单/客户端更新阻断流通</t>
  </si>
  <si>
    <t>E</t>
  </si>
  <si>
    <t>Tether官方确认3095万USDT被盗；具体入侵技术路径未完整公开</t>
  </si>
  <si>
    <t>2021-03-16</t>
  </si>
  <si>
    <t>Iron Finance vFarm奖励配置错误</t>
  </si>
  <si>
    <t>IRON相关vFarm；异常发放资产为SIL</t>
  </si>
  <si>
    <t>部分抵押IRON生态；本事件发生于外部vFarm奖励模块</t>
  </si>
  <si>
    <t>IRON仅作为受影响生态稳定币；直接异常资产是vFarm奖励Token SIL</t>
  </si>
  <si>
    <t>外部vFarm/FaaS升级改变奖励率参数，Iron与Value DeFi未同步识别配置变化</t>
  </si>
  <si>
    <t>vFarm奖励参数异常 → SIL未来一年奖励提前领取 → SIL被抛售 → IRON相关LP受损；IRON稳定机制未被攻破</t>
  </si>
  <si>
    <t>不适用</t>
  </si>
  <si>
    <t>IRON稳定机制未被直接击穿；主要市场影响是SIL抛售及IRON-SIL LP损失。</t>
  </si>
  <si>
    <t>约17万美元级SIL奖励被提前领取并抛售</t>
  </si>
  <si>
    <t>Iron停止SIL合作并迁移到STEEL，针对受影响SIL/LP用户安排补偿</t>
  </si>
  <si>
    <t>Iron官方post-mortem标题及补偿时间均指向2021-03-16；正文个别位置出现“2020”应视为笔误</t>
  </si>
  <si>
    <t>2022年6—7月</t>
  </si>
  <si>
    <t>CoinFLEX／flexUSD：平台退出限制与兑付依赖</t>
  </si>
  <si>
    <t>flexUSD</t>
  </si>
  <si>
    <t>CoinFLEX中心化平台</t>
  </si>
  <si>
    <t>中心化平台发行的收益型美元稳定币；兑付依赖CoinFLEX</t>
  </si>
  <si>
    <t>flexUSD是CoinFLEX平台流动性/对手方危机传导的稳定币</t>
  </si>
  <si>
    <t>CoinFLEX暂停提现并出现大型对手方欠款，flexUSD兑付依赖的平台流动性随之失效</t>
  </si>
  <si>
    <t>CoinFLEX提现暂停/对手方欠款 → flexUSD赎回能力下降 → 市场折价 → 平台重组与恢复安排</t>
  </si>
  <si>
    <t>发生明显或持续性脱锚/折价，价格稳定性受到实质破坏；CoinFLEX对手方资金缺口从约4,700万美元扩大至约8,400万美元，flexUSD严重折价</t>
  </si>
  <si>
    <t>CoinFLEX对手方资金缺口从约4,700万美元扩大至约8,400万美元，flexUSD严重折价</t>
  </si>
  <si>
    <t>CoinFLEX进入重组/债权处置，flexUSD长期折价并高度依赖平台恢复能力</t>
  </si>
  <si>
    <t>E→C→M</t>
  </si>
  <si>
    <t>2022-10-31—2022-11-02</t>
  </si>
  <si>
    <t>Solend Protocol</t>
  </si>
  <si>
    <t>USDH</t>
  </si>
  <si>
    <t>加密资产超额抵押；Hubble发行USDH</t>
  </si>
  <si>
    <t>USDH是被操纵局部价格并作为高估抵押品使用的稳定币</t>
  </si>
  <si>
    <t>Solend对低流动性USDH市场使用即时spot price，缺乏足够TWAP/独立价格约束</t>
  </si>
  <si>
    <t>薄池USDH被拉高 → Solend读取异常spot价 → USDH抵押价值虚增 → 借走其他资产 → 隔离池坏账</t>
  </si>
  <si>
    <t>出现局部或短时价格偏离，未观察到同等程度的全市场持续失稳；约100万—126万美元借贷坏账</t>
  </si>
  <si>
    <t>约100万—126万美元借贷坏账</t>
  </si>
  <si>
    <t>Solend隔离受影响池并在V2采用更保守spot/TWAP预言机设计</t>
  </si>
  <si>
    <t>2023-03-13—2023-04-14</t>
  </si>
  <si>
    <t>Euler 攻击冲击 Angle</t>
  </si>
  <si>
    <t>agEUR（现名 EURA；锚定 EUR）</t>
  </si>
  <si>
    <t>多抵押欧元稳定币；部分储备配置于Euler等DeFi</t>
  </si>
  <si>
    <t>agEUR是因储备配置于Euler而承受外部协议损失传染的稳定币</t>
  </si>
  <si>
    <t>Angle将大量USDC储备部署在Euler，Euler被攻击后储备资产直接形成损失敞口</t>
  </si>
  <si>
    <t>Euler被攻击 → Angle储备USDC受损 → agEUR偿付预期恶化 → 二级市场偏离 → 后续资本与风险管理修复</t>
  </si>
  <si>
    <t>agEUR出现风险传染后的市场偏离并随后修复；核心冲击来自Angle储备USDC在Euler的损失敞口。</t>
  </si>
  <si>
    <t>Angle约1,760万USDC配置在Euler；Euler整体攻击规模约1.97亿美元</t>
  </si>
  <si>
    <t>Angle通过资本补充、风险参数和储备管理调整吸收Euler损失并恢复稳定运行</t>
  </si>
  <si>
    <t>2023-04-13</t>
  </si>
  <si>
    <t>Yearn旧iEarn yUSDT配置错误</t>
  </si>
  <si>
    <t>yUSDT（USDT收益份额代币；Yearn旧iEarn）</t>
  </si>
  <si>
    <t>非独立稳定币；yUSDT代表Yearn旧iEarn中的USDT存款份额</t>
  </si>
  <si>
    <t>yUSDT是代表用户USDT存款份额的收益型代币，并非独立稳定币</t>
  </si>
  <si>
    <t>旧iEarn yUSDT部署时错误引用iUSDC地址，底层资产与份额会计长期不一致</t>
  </si>
  <si>
    <t>底层地址配置错误 → 份额/资产会计可被放大 → 异常yUSDT产生 → 换走DAI/USDC/USDT等资产</t>
  </si>
  <si>
    <t>稳定币价格并非本案主要评价对象；主要影响体现为资产被盗、冻结/查扣、平台限制、违法利用或外围协议损失。</t>
  </si>
  <si>
    <t>约1,000万—1,160万美元稳定币资产被提取</t>
  </si>
  <si>
    <t>Yearn确认仅影响旧iEarn合约，主流V2不受影响；遗留系统进一步退役/隔离</t>
  </si>
  <si>
    <t>2023-12-06—2023-12-07</t>
  </si>
  <si>
    <t>Elephant Money BUSD BuyBack价格操纵</t>
  </si>
  <si>
    <t>TRUNK生态外围BUSD BuyBack合约</t>
  </si>
  <si>
    <t>TRUNK生态受外围BUSD回购治理合约攻击影响，TRUNK本身未被再次无限铸造</t>
  </si>
  <si>
    <t>BuyBack bot停机积累可提价值，外围合约又依赖可被闪电贷操纵的AMM现货状态</t>
  </si>
  <si>
    <t>BuyBack余额积累 → 闪电贷操纵BUSD/WBNB状态 → sweep按失真价格执行 → 外围合约资产被提取</t>
  </si>
  <si>
    <t>TRUNK未出现由本次外围BuyBack事件导致的系统性脱锚；损失集中于BUSD回购治理合约。</t>
  </si>
  <si>
    <t>链上提取约16.5万美元；项目官方称影响约20万美元</t>
  </si>
  <si>
    <t>Elephant切断受影响BuyBack合约对Treasury的访问并修复自动运维/价格路径</t>
  </si>
  <si>
    <t>攻击路径明确；链上提取约16.5万美元与项目称约20万美元属于损失口径差异</t>
  </si>
  <si>
    <t>2024-02-28</t>
  </si>
  <si>
    <t>Seneca Protocol</t>
  </si>
  <si>
    <t>senUSD</t>
  </si>
  <si>
    <t>Arbitrum、Ethereum</t>
  </si>
  <si>
    <t>加密资产抵押借贷；抵押品支持senUSD</t>
  </si>
  <si>
    <t>senUSD是Seneca借贷体系债务稳定币；被盗主体主要是外部抵押资产</t>
  </si>
  <si>
    <t>Chamber允许过宽外部调用，可借用用户已授予协议的ERC-20 allowance执行任意transferFrom</t>
  </si>
  <si>
    <t>Chamber任意外部调用 → 借用用户allowance → 抵押Token被转走 → Seneca损失并暂停</t>
  </si>
  <si>
    <t>senUSD未出现系统性脱锚；损失集中于Seneca用户抵押资产和协议授权边界。</t>
  </si>
  <si>
    <t>约640万美元抵押资产被转走</t>
  </si>
  <si>
    <t>Seneca暂停协议并要求撤销授权，项目后续基本停止正常运营</t>
  </si>
  <si>
    <t>2024-06-10、2024-06-13</t>
  </si>
  <si>
    <t>UwU Lend</t>
  </si>
  <si>
    <t>sUSDe</t>
  </si>
  <si>
    <t>USDe质押收益Token；底层为delta-neutral合成美元</t>
  </si>
  <si>
    <t>sUSDe是UwU用于抵押估值的外部收益资产，USDe机制本身未被攻破</t>
  </si>
  <si>
    <t>UwU把多个相关性很高且可操纵的Curve价格输入当作足够独立的抵押定价依据</t>
  </si>
  <si>
    <t>Curve价格输入被操纵 → sUSDe抵押估值失真 → 异常借贷/清算 → UwU资产损失 → 二次攻击扩大损失</t>
  </si>
  <si>
    <t>USDe/sUSDe本身未出现由该攻击引发的系统性脱锚；主要表现为UwU借贷坏账和被盗资产损失。</t>
  </si>
  <si>
    <t>两轮攻击合计约2,300万美元损失</t>
  </si>
  <si>
    <t>UwU暂停、修复并推进赔付/追偿；第二轮攻击暴露首次修复不完整</t>
  </si>
  <si>
    <t>攻击交易与多家安全机构复盘一致；底层USDe/sUSDe本身未被攻破</t>
  </si>
  <si>
    <t>2025/2/24</t>
  </si>
  <si>
    <t>Infini：残留管理权限提取USDC</t>
  </si>
  <si>
    <t>USDC为金库资产；DAI为后续兑换资产</t>
  </si>
  <si>
    <t>Ethereum／Infini金库</t>
  </si>
  <si>
    <t>USDC是Infini金库中因残留管理权限被直接提取的主要资产</t>
  </si>
  <si>
    <t>Infini旧开发者/管理员权限未彻底撤销，残留特权可直接提取金库USDC</t>
  </si>
  <si>
    <t>残留管理员权限 → 直接提取约4950万USDC → 换成DAI/其他资产 → 金库巨额损失</t>
  </si>
  <si>
    <t>USDC未脱锚；核心表现为Infini金库约4950万美元资产被提取。</t>
  </si>
  <si>
    <t>约4,950万美元USDC被提取</t>
  </si>
  <si>
    <t>Infini确认巨额金库损失并追踪攻击者，残留权限管理成为核心整改点</t>
  </si>
  <si>
    <t>2025-03-21 08:46—09:01 UTC</t>
  </si>
  <si>
    <t>Zoth：USD0++储备金库被恶意升级</t>
  </si>
  <si>
    <t>USD0++为被盗储备/抵押资产；DAI为兑换路径</t>
  </si>
  <si>
    <t>Ethereum／Zoth金库</t>
  </si>
  <si>
    <t>USD0++为RWA收益型稳定资产；本案是外部Zoth金库持仓</t>
  </si>
  <si>
    <t>USD0++是Zoth金库中被恶意升级合约转走的储备/抵押资产</t>
  </si>
  <si>
    <t>Zoth部署者/管理员权限失陷后，代理金库被upgradeToAndCall替换为恶意实现</t>
  </si>
  <si>
    <t>管理员权限失陷 → 金库恶意升级 → 约885万USD0++转走 → 换成DAI/ETH → 储备资产损失</t>
  </si>
  <si>
    <t>USD0++未因Zoth金库攻击发生系统性锚定失效；主要表现为储备资产被盗。</t>
  </si>
  <si>
    <t>约885万USD0++被转走，损失约840万美元</t>
  </si>
  <si>
    <t>Zoth金库被恶意升级并损失USD0++；项目暂停/处置受影响金库并追踪攻击资金</t>
  </si>
  <si>
    <t>2025/3/25</t>
  </si>
  <si>
    <t>Abracadabra：GM Cauldrons抵押状态攻击</t>
  </si>
  <si>
    <t>MIM；GM仓位为外部抵押资产</t>
  </si>
  <si>
    <t>Arbitrum／GMX V2集成</t>
  </si>
  <si>
    <t>MIM是GM抵押状态攻击后无充分抵押借出的稳定币</t>
  </si>
  <si>
    <t>GM Cauldron对外部GM仓位/抵押状态的同步假设被破坏，使抵押状态可被攻击者错配</t>
  </si>
  <si>
    <t>外部GM仓位状态被操纵/错配 → Cauldron高估抵押 → 约1340万MIM无充分抵押借出 → 协议坏账</t>
  </si>
  <si>
    <t>约1,340万MIM在不足额抵押条件下被借出</t>
  </si>
  <si>
    <t>Abracadabra隔离GM Cauldrons并修复集成状态逻辑，MIM供应和坏账进入处置</t>
  </si>
  <si>
    <t>E→C</t>
  </si>
  <si>
    <t>2025/6/18</t>
  </si>
  <si>
    <t>Nobitex：多资产破坏攻击中的美元稳定币</t>
  </si>
  <si>
    <t>美元稳定币包含在多资产损失中</t>
  </si>
  <si>
    <t>Nobitex多链交易所</t>
  </si>
  <si>
    <t>美元稳定币是Nobitex多资产破坏性转移的一部分，并非攻击根因</t>
  </si>
  <si>
    <t>攻击者获得Nobitex关键权限后把多类资产转至推定不可用地址，稳定币只是受损资产之一</t>
  </si>
  <si>
    <t>关键权限/基础设施被攻陷 → 多资产转入不可用地址 → 稳定币余额同步损失 → 平台服务受创</t>
  </si>
  <si>
    <t>稳定币未因Nobitex攻击发生协议级脱锚；它们只是多资产破坏性转移的一部分。</t>
  </si>
  <si>
    <t>超过9,000万美元多类加密资产被转至推定不可用地址，其中包含美元稳定币</t>
  </si>
  <si>
    <t>Nobitex遭重大破坏性攻击并暂停服务，稳定币损失作为多资产损失的一部分处理</t>
  </si>
  <si>
    <t>2025-06-30公告；2025—2026持续退出</t>
  </si>
  <si>
    <t>Kujira USK：Rujira合并中的仅还款退出</t>
  </si>
  <si>
    <t>Kujira→Rujira／THORChain迁移</t>
  </si>
  <si>
    <t>USK是Kujira并入Rujira过程中进入仅还款收缩的稳定币</t>
  </si>
  <si>
    <t>Kujira生态并入Rujira/THORChain后，USK停止扩张并转为仅还款收缩</t>
  </si>
  <si>
    <t>生态合并 → USK停止新增借款 → 利率/还款机制推动债务回收 → USK逐步销毁退出</t>
  </si>
  <si>
    <t>USK按repayment-only方式收缩，没有发生由该退出安排直接引发的系统性脱锚。</t>
  </si>
  <si>
    <t>无攻击损失；USK逐步转为仅还款、债务收缩状态</t>
  </si>
  <si>
    <t>USK在Rujira合并中进入repayment-only阶段，债务偿还后相应Token逐步销毁</t>
  </si>
  <si>
    <t>Elixir deUSD：对Stream敞口与赎回基础设施关闭</t>
  </si>
  <si>
    <t>Elixir deUSD／sdeUSD</t>
  </si>
  <si>
    <t>Elixir发行体系＋Morpho/Stream信用敞口</t>
  </si>
  <si>
    <t>合成美元；抵押/对冲结构并包含对Stream的信用敞口</t>
  </si>
  <si>
    <t>deUSD是因对Stream信用敞口及赎回安排关闭而进入退出的稳定币</t>
  </si>
  <si>
    <t>deUSD支持资产中对Stream的信用敞口高度集中，Stream危机使应收债权难以及时转化为兑付现金</t>
  </si>
  <si>
    <t>Stream信用事件 → deUSD支持资产流动性受限 → 大量赎回 → 关闭mint/redeem → 快照并按USDC安排退出</t>
  </si>
  <si>
    <t>出现局部或短时价格偏离，未观察到同等程度的全市场持续失稳；Elixir对Stream信用敞口约6,800万美元；deUSD进入sunset并安排剩余持有人USDC兑付</t>
  </si>
  <si>
    <t>Elixir对Stream信用敞口约6,800万美元；deUSD进入sunset并安排剩余持有人USDC兑付</t>
  </si>
  <si>
    <t>Elixir停止deUSD，完成快照并计划对剩余持有人按1:1 USDC处理退出</t>
  </si>
  <si>
    <t>Elixir公开sunset/兑付安排及对Stream敞口规模</t>
  </si>
  <si>
    <t>2026/1/30</t>
  </si>
  <si>
    <t>Gyroscope：跨链回调授权转走GYD</t>
  </si>
  <si>
    <t>GYD</t>
  </si>
  <si>
    <t>Arbitrum→Ethereum跨链路径</t>
  </si>
  <si>
    <t>资产支持型稳定币GYD；事件发生于跨链回调/授权</t>
  </si>
  <si>
    <t>GYD是跨链回调错误授权后被攻击者转走的稳定币</t>
  </si>
  <si>
    <t>跨链回调对外部调用授予过宽Token allowance，攻击者借回调路径转走GYD</t>
  </si>
  <si>
    <t>跨链回调授权过宽 → 攻击者获得无限GYD allowance → 约609.9万GYD转走 → 跨链换出</t>
  </si>
  <si>
    <t>GYD未以系统性脱锚为主要后果；核心是跨链授权漏洞导致约609.9万GYD被转走。</t>
  </si>
  <si>
    <t>约609.9万GYD被转走；可实际变现的流动性约80万美元级</t>
  </si>
  <si>
    <t>Gyroscope暂停/修复相关跨链流程并追踪被盗GYD，可变现损失受市场流动性限制</t>
  </si>
  <si>
    <t>2026-02-22</t>
  </si>
  <si>
    <t>YieldBlox：USTRY价格/预言机操纵后借出USDC/XLM</t>
  </si>
  <si>
    <t>USDC为借出资产；USTRY为被操纵抵押资产（非稳定币）</t>
  </si>
  <si>
    <t>Stellar／Blend V2 YieldBlox池</t>
  </si>
  <si>
    <t>USDC外部借贷场景；USTRY为代币化国债抵押品</t>
  </si>
  <si>
    <t>USDC是被借走的现金类资产；USTRY才是遭预言机操纵的抵押品</t>
  </si>
  <si>
    <t>极薄USTRY/USDC市场使单笔异常成交主导VWAP，YieldBlox缺乏流动性门槛和独立价格校验</t>
  </si>
  <si>
    <t>USTRY薄池成交被操纵 → VWAP升至约106美元 → 抵押品高估 → 借出XLM/USDC → YieldBlox坏账</t>
  </si>
  <si>
    <t>USDC未失去锚定；损失来自YieldBlox错误高估USTRY后借出USDC/XLM。</t>
  </si>
  <si>
    <t>损失约1,020万—1,086万美元，包括约100万USDC及6,125万XLM借出</t>
  </si>
  <si>
    <t>YieldBlox/Blend受影响池产生巨额坏账，事件推动对薄市场预言机配置的重新审查</t>
  </si>
  <si>
    <t>BlockSec等技术复盘支持；USTRY是被操纵抵押资产，USDC只是借出资产</t>
  </si>
  <si>
    <t>2026-03-02</t>
  </si>
  <si>
    <t>Curve LlamaLend：sDOLA捐赠与硬清算</t>
  </si>
  <si>
    <t>sDOLA为抵押份额；crvUSD为贷款/清算资产</t>
  </si>
  <si>
    <t>Ethereum／Curve LlamaLend</t>
  </si>
  <si>
    <t>crvUSD为借贷稳定币；sDOLA为外部抵押份额Token</t>
  </si>
  <si>
    <t>crvUSD是LlamaLend贷款/清算资产；sDOLA是被捐赠操纵的抵押份额</t>
  </si>
  <si>
    <t>攻击者直接向sDOLA金库捐赠DOLA抬高每份share价值，LlamaLend据此高估抵押品</t>
  </si>
  <si>
    <t>向sDOLA直接捐赠 → share价值虚高 → LlamaLend抵押估值上升 → 借款/硬清算 → 借款人权益损失</t>
  </si>
  <si>
    <t>crvUSD未发生系统性脱锚；核心是sDOLA估值被抬高后触发借贷和清算损失。</t>
  </si>
  <si>
    <t>攻击者收益约24万美元；借款人权益损失约82.2万crvUSD</t>
  </si>
  <si>
    <t>Curve/相关协议处置sDOLA市场风险，捐赠攻击导致借款人被硬清算并产生权益损失</t>
  </si>
  <si>
    <t>公开技术复原支持donation attack；部分损失口径来自研究机构估算</t>
  </si>
  <si>
    <t>2026-05-29准备；2026-06-01执行</t>
  </si>
  <si>
    <t>GnosisPay：签名验证绕过转走EURe/USDC.e</t>
  </si>
  <si>
    <t>EURe、USDC.e（另含少量xDAI、USDC、USDT）</t>
  </si>
  <si>
    <t>Gnosis Pay／Safe钱包基础设施</t>
  </si>
  <si>
    <t>法币支持稳定币支付资产；本案发生于支付钱包基础设施</t>
  </si>
  <si>
    <t>EURe和USDC.e是支付钱包签名验证绕过后被盗的主要稳定币资产</t>
  </si>
  <si>
    <t>ERC-1271签名验证实现存在绕过路径，攻击者可伪造支付钱包授权</t>
  </si>
  <si>
    <t>签名验证绕过 → 伪造Safe授权 → EURe/USDC.e等资产转出 → 攻击者换币洗出</t>
  </si>
  <si>
    <t>EURe/USDC.e未发生系统性脱锚；核心是支付钱包资产被盗。</t>
  </si>
  <si>
    <t>约150万美元资产被盗，其中EURe约45.3万美元、USDC.e约39.9万美元</t>
  </si>
  <si>
    <t>Gnosis Pay修复签名验证、处置受影响钱包并推进用户补偿/资产追踪</t>
  </si>
  <si>
    <t>2026-06-20</t>
  </si>
  <si>
    <t>MainStreet msUSD：验证服务终止后的价格偏离</t>
  </si>
  <si>
    <t>msUSD</t>
  </si>
  <si>
    <t>Ethereum及相关DeFi市场</t>
  </si>
  <si>
    <t>RWA/信用资产支持的msUSD；依赖第三方储备验证</t>
  </si>
  <si>
    <t>msUSD是第三方储备验证服务终止后出现严重折价的稳定币</t>
  </si>
  <si>
    <t>第三方Accountable储备验证服务终止，市场难以及时确认msUSD支持资产，引发信任与流动性冲击</t>
  </si>
  <si>
    <t>储备验证服务终止 → 透明度和信心下降 → 二级市场抛售/流动性萎缩 → msUSD跌至约0.25–0.30</t>
  </si>
  <si>
    <t>发生明显或持续性脱锚/折价，价格稳定性受到实质破坏；msUSD一度跌至约0.25—0.30美元</t>
  </si>
  <si>
    <t>msUSD一度跌至约0.25—0.30美元</t>
  </si>
  <si>
    <t>msUSD严重折价后市场信任与流动性受损，储备验证依赖成为主要治理问题</t>
  </si>
  <si>
    <t>E→M</t>
  </si>
  <si>
    <t>严重价格折价与验证服务终止可核；公开一手技术/储备细节有限</t>
  </si>
  <si>
    <t>2026/7/16</t>
  </si>
  <si>
    <t>DeFiTuna：薄池路径和价值舍入绕过偿付检查</t>
  </si>
  <si>
    <t>USDC</t>
  </si>
  <si>
    <t>Solana／DeFiTuna</t>
  </si>
  <si>
    <t>USDC是DeFiTuna薄池/舍入攻击中被借出的资产</t>
  </si>
  <si>
    <t>薄流动性池路径与价值舍入共同让偿付检查高估仓位，从而借出USDC</t>
  </si>
  <si>
    <t>薄池/舍入操纵 → 仓位价值被高估 → 借出约57万USDC → DeFiTuna产生坏账</t>
  </si>
  <si>
    <t>USDC未脱锚；核心是DeFiTuna产生约57万美元借贷损失。</t>
  </si>
  <si>
    <t>约57万美元USDC被借走</t>
  </si>
  <si>
    <t>DeFiTuna隔离受影响市场并修复定价/偿付检查，USDC坏账进入处置</t>
  </si>
  <si>
    <t>2026-08-27 02:01:02—02:21:12 UTC；8月28日恢复</t>
  </si>
  <si>
    <t>ICON迁移消息重放与bnUSD处置</t>
  </si>
  <si>
    <t>bnUSD为重复释放资产；USDC为后续借贷资产</t>
  </si>
  <si>
    <t>ICON迁移基础设施</t>
  </si>
  <si>
    <t>加密资产超额抵押稳定币bnUSD；本案发生于迁移基础设施</t>
  </si>
  <si>
    <t>bnUSD是迁移消息重放中被重复释放的稳定币；USDC为后续借贷资产</t>
  </si>
  <si>
    <t>迁移消息缺少充分一次性消费/重放保护，同一迁移指令可被重复执行释放资产</t>
  </si>
  <si>
    <t>迁移消息重放 → ICX与bnUSD被重复释放 → 基金会迁移资产损失 → 网络暂停/修复后恢复</t>
  </si>
  <si>
    <t>bnUSD并非主要价格风险对象；迁移合约异常释放后基金会处置并恢复服务。</t>
  </si>
  <si>
    <t>重复释放约119.866M ICX及531,600 bnUSD</t>
  </si>
  <si>
    <t>ICON基金会暂停迁移/网络相关功能并修复重放问题，8月28日恢复服务</t>
  </si>
  <si>
    <t>ICON官方复盘支持重放机制、数量和恢复时间</t>
  </si>
  <si>
    <t>2026-08-28</t>
  </si>
  <si>
    <t>Rain：共享稳定币卡合约授权绕过</t>
  </si>
  <si>
    <t>Solana USDC、USDT卡余额／抵押资产</t>
  </si>
  <si>
    <t>Solana稳定币卡合约；资金后续跨至Ethereum</t>
  </si>
  <si>
    <t>USDC/USDT是稳定币卡用户余额，被外围支付合约授权漏洞转走</t>
  </si>
  <si>
    <t>共享稳定币卡合约授权边界被绕过，攻击者可动用用户已存入的USDC/USDT余额</t>
  </si>
  <si>
    <t>卡合约授权绕过 → 用户USDC/USDT余额被提取 → 跨链换币/洗出 → 支付服务侧损失</t>
  </si>
  <si>
    <t>USDC/USDT本身未脱锚；用户稳定币卡余额因外围授权漏洞被盗。</t>
  </si>
  <si>
    <t>约110万美元USDC/USDT等资产被盗</t>
  </si>
  <si>
    <t>Rain及相关服务方修复授权路径、追踪资产并强化稳定币卡合约监控</t>
  </si>
  <si>
    <t>2026-09-02—2026-09-07</t>
  </si>
  <si>
    <t>Cozy保护市场虚假触发后提取USDC.e</t>
  </si>
  <si>
    <t>USDC.e</t>
  </si>
  <si>
    <t>Optimism／Cozy保护市场</t>
  </si>
  <si>
    <t>USDC.e是Cozy保护市场错误认定保险事件后的赔付资产</t>
  </si>
  <si>
    <t>Optimistic Oracle的争议/挑战活性不足，虚假保险事故声明在无人有效挑战时生效</t>
  </si>
  <si>
    <t>提交虚假保险事故YES结果 → 挑战窗口无人有效反对 → 赔付条件生效 → USDC.e被领取</t>
  </si>
  <si>
    <t>USDC.e未脱锚；错误保险赔付导致外围协议资产流失。</t>
  </si>
  <si>
    <t>约16万—17万美元USDC.e被异常领取</t>
  </si>
  <si>
    <t>Cozy相关保护市场被错误触发后暴露Oracle争议机制活性不足，事件推动治理/挑战机制复核</t>
  </si>
  <si>
    <t>链上安全复原和行业资料支持；未找到Cozy完整最终技术报告</t>
  </si>
  <si>
    <t>2026-09-03—2026-09-04 UTC</t>
  </si>
  <si>
    <t>Notional V1遗留Escrow漏洞导致USDC/DAI被提取</t>
  </si>
  <si>
    <t>USDC、DAI</t>
  </si>
  <si>
    <t>Ethereum／Notional V1 Escrow</t>
  </si>
  <si>
    <t>USDC/DAI是Notional遗留Escrow漏洞中被提取的资产</t>
  </si>
  <si>
    <t>已废弃V1仍保留资产和提款入口，整数/抵押检查边界漏洞可构造异常债务状态</t>
  </si>
  <si>
    <t>遗留V1漏洞 → 构造异常债务/抵押状态 → Escrow释放USDC/DAI → 约172万美元资产被盗</t>
  </si>
  <si>
    <t>USDC/DAI未脱锚；核心是遗留Notional V1合约释放稳定币资产造成损失。</t>
  </si>
  <si>
    <t>约165万USDC和6.9万DAI被盗，合计约172万美元级</t>
  </si>
  <si>
    <t>Notional确认V1遗留合约攻击并暴露退役资产管理不足，后续修复/追踪被盗稳定币</t>
  </si>
  <si>
    <t>2018-01—2021-09</t>
  </si>
  <si>
    <t>郭某钊等：泰达币中介的非法换汇</t>
  </si>
  <si>
    <t>中国境内外／USDT交易平台</t>
  </si>
  <si>
    <t>USDT是非法换汇中连接境外外币和境内人民币兑付的桥梁资产</t>
  </si>
  <si>
    <t>E_IU</t>
  </si>
  <si>
    <t>外部生态—违法利用风险</t>
  </si>
  <si>
    <t>中介利用USDT连接境外外币入金与境内人民币兑付，绕开持牌外汇体系</t>
  </si>
  <si>
    <t>境外外币进入中介 → USDT链上转移 → 境内人民币对敲兑付 → 非法经营/换汇责任追究</t>
  </si>
  <si>
    <t>USDT未脱锚；核心表现为非法换汇规模、账户/地址证据和刑事责任。</t>
  </si>
  <si>
    <t>非法换汇规模超过2.2亿元人民币，其中接收超过600万USDT</t>
  </si>
  <si>
    <t>案件经刑事起诉/裁判处理，USDT中介型非法换汇被明确纳入违法经营认定</t>
  </si>
  <si>
    <t>2019—2025；2025-03-06—03-07执法行动</t>
  </si>
  <si>
    <t>Garantex：持续非法金融指控与平台查封</t>
  </si>
  <si>
    <t>USDT为主要兑换媒介；执法处置另含多种加密资产</t>
  </si>
  <si>
    <t>Garantex交易平台基础设施＋链上稳定币地址</t>
  </si>
  <si>
    <t>USDT是Garantex客户兑换和执法冻结中的主要结算资产</t>
  </si>
  <si>
    <t>Garantex长期被指为违法资金转换平台，执法机构查封基础设施并协同冻结稳定币</t>
  </si>
  <si>
    <t>Garantex违法资金服务 → 制裁/执法升级 → 服务器与域名查封、USDT冻结 → 平台业务中断</t>
  </si>
  <si>
    <t>USDT价格不是核心风险指标；主要表现为Garantex业务停摆、地址冻结和执法查封。</t>
  </si>
  <si>
    <t>约2,300万—2,800万美元USDT被冻结；联合执法另查封/冻结超过2,600万美元加密资产</t>
  </si>
  <si>
    <t>Garantex基础设施被查封、部分资金冻结，相关人员/业务随后向替代平台迁移</t>
  </si>
  <si>
    <t>2021-08—2025-01涉及活动；2025-05-01认定；2025-10-14最终规则</t>
  </si>
  <si>
    <t>Huione：稳定币通道与美国金融系统限制</t>
  </si>
  <si>
    <t>USDT为结算工具；USDH为平台宣称的新稳定币通道</t>
  </si>
  <si>
    <t>Huione集团／美国金融系统</t>
  </si>
  <si>
    <t>USDT是Huione生态结算工具；USDH是其宣称的替代稳定币通道</t>
  </si>
  <si>
    <t>Huione被指长期为诈骗和洗钱网络提供结算服务，美国监管最终切断其接入美国金融系统</t>
  </si>
  <si>
    <t>高风险结算网络扩大 → 美国监管认定洗钱风险 → 禁止美国金融机构相关往来 → 稳定币通道受限</t>
  </si>
  <si>
    <t>稳定币锚定不是核心；主要表现为Huione被切断美国金融系统接入与合规压力升级。</t>
  </si>
  <si>
    <t>FinCEN称Huione在2021—2025年间至少处理约40亿美元违法所得</t>
  </si>
  <si>
    <t>FinCEN最终规则切断Huione接入美国金融系统，相关稳定币结算网络受限</t>
  </si>
  <si>
    <t>约2022—2025；2025-03判决、2025-07-16披露</t>
  </si>
  <si>
    <t>上海浦东：稳定币媒介的跨境非法换汇案</t>
  </si>
  <si>
    <t>上海／跨境对敲网络</t>
  </si>
  <si>
    <t>USDT是跨境对敲和非法换汇网络的结算媒介</t>
  </si>
  <si>
    <t>团伙以USDT等稳定币进行境内外对敲，在不同司法辖区完成非法换汇</t>
  </si>
  <si>
    <t>境外资金与USDT对敲 → 境内人民币支付 → 规避外汇管制 → 刑事判决与资金追缴</t>
  </si>
  <si>
    <t>USDT未脱锚；核心表现为约65亿元人民币非法外汇对敲与司法处罚。</t>
  </si>
  <si>
    <t>非法买卖外汇规模约65亿元人民币</t>
  </si>
  <si>
    <t>上海法院对非法换汇链条作出判决，稳定币对敲模式成为司法认定的重要事实</t>
  </si>
  <si>
    <t>判决与约65亿元规模可核；公开材料对三年业务窗口的精确起止日披露有限</t>
  </si>
  <si>
    <t>2023-11-20（自愿冻结）；2025-06-18（起诉公开）</t>
  </si>
  <si>
    <t>DOJ USDT 诈骗资金民事没收案</t>
  </si>
  <si>
    <t>USDT（Ethereum，文书 Token Groups A–G）</t>
  </si>
  <si>
    <t>Ethereum／OKX链下账户记录／司法程序</t>
  </si>
  <si>
    <t>USDT是诈骗资金分层转移、冻结和民事没收的价值载体</t>
  </si>
  <si>
    <t>大规模投资诈骗将受害资金通过多地址和交易所账户分层转移，并最终集中为USDT</t>
  </si>
  <si>
    <t>诈骗受害资金进入加密网络 → 多地址分层 → Tether协助冻结 → DOJ民事没收约2.25亿USDT</t>
  </si>
  <si>
    <t>民事没收标的约225,364,961 USDT，涉及430多名疑似受害者</t>
  </si>
  <si>
    <t>相关USDT已被冻结/查扣并进入美国民事没收程序，案件继续按司法程序处理</t>
  </si>
  <si>
    <t>2023相关行为；2024-12-04制裁</t>
  </si>
  <si>
    <t>TGR网络：USDT换现与OFAC制裁</t>
  </si>
  <si>
    <t>跨境USDT与现金网络</t>
  </si>
  <si>
    <t>USDT是现金换现和跨境资金安排中的结算媒介</t>
  </si>
  <si>
    <t>TGR网络组织现金与USDT之间的跨境兑换，为受制裁或高风险主体提供金融通道</t>
  </si>
  <si>
    <t>现金与USDT兑换网络运作 → 跨境/受制裁资金流转 → OFAC制裁 → 相关地址与主体金融可用性下降</t>
  </si>
  <si>
    <t>USDT未脱锚；核心表现为现金—稳定币结算网络被识别、制裁和资产追踪。</t>
  </si>
  <si>
    <t>相关执法行动逮捕84人并扣押超过2,000万英镑现金与加密资产</t>
  </si>
  <si>
    <t>相关个人/实体被OFAC制裁，稳定币地址和现金渠道成为执法监控重点</t>
  </si>
  <si>
    <t>2024-07—2026-02平台活动；2026-08-07制裁</t>
  </si>
  <si>
    <t>Shelbit相关USDT流转与2026年制裁</t>
  </si>
  <si>
    <t>USDT等美元稳定币</t>
  </si>
  <si>
    <t>Tron为主的稳定币结算网络</t>
  </si>
  <si>
    <t>USDT等稳定币是Shelbit相关制裁规避和结算网络中的主要资产</t>
  </si>
  <si>
    <t>受制裁相关平台利用稳定币高流动性和跨境可转移性进行结算，形成链上制裁规避通道</t>
  </si>
  <si>
    <t>平台聚合稳定币流量 → 高风险/受制裁主体使用 → OFAC制裁与链上归因 → 结算通道被限制</t>
  </si>
  <si>
    <t>TRM追踪相关网络累计流量超过63亿美元，约88%涉及Tron上的美元稳定币活动</t>
  </si>
  <si>
    <t>相关主体被OFAC制裁，稳定币服务商与交易平台面临筛查、冻结和拒绝服务义务</t>
  </si>
  <si>
    <t>OFAC支持制裁事实；63亿美元及88%稳定币比例来自TRM链上归因口径</t>
  </si>
  <si>
    <t>2024-07—2026-04（终审）</t>
  </si>
  <si>
    <t>杭州：黄金换U币诈骗案终审</t>
  </si>
  <si>
    <t>杭州／跨境USDT地址网络</t>
  </si>
  <si>
    <t>USDT是黄金诈骗所得变现并向境外转移的链上价值载体</t>
  </si>
  <si>
    <t>诈骗团伙将受害者资金先转化为黄金，再变现为USDT向境外地址转移</t>
  </si>
  <si>
    <t>投资诈骗 → 受害者交付黄金 → 黄金变现 → 兑换USDT → 境外地址转移 → 刑事追责</t>
  </si>
  <si>
    <t>受害人多次交付黄金，赃款部分兑换USDT跨境转移；案件已完成终审处置</t>
  </si>
  <si>
    <t>案件完成二审/终审处置，黄金+USDT多层资金路径被司法机关认定并用于定罪</t>
  </si>
  <si>
    <t>2024-11-21（交易及暴力事件）；2025-04-28（侦办报道）；2025-05-07（起诉）</t>
  </si>
  <si>
    <t>台中：泰达币场外兑换纠纷与暴力案件</t>
  </si>
  <si>
    <t>台中／USDT场外交易</t>
  </si>
  <si>
    <t>USDT是场外兑换、疑似洗钱及后续暴力纠纷中的交易资产</t>
  </si>
  <si>
    <t>场外USDT兑换与疑似洗钱交易发生纠纷，线下交易关系进一步演变为暴力犯罪</t>
  </si>
  <si>
    <t>场外USDT兑换 → 交易/资金归属争议 → 暴力拘禁/索款 → 警方侦办并逮捕相关人员</t>
  </si>
  <si>
    <t>USDT未脱锚；核心是OTC交易、疑似洗钱和线下人身/财产风险。</t>
  </si>
  <si>
    <t>约20万USDT／约600万元新台币场外交易引发纠纷，警方逮捕15人</t>
  </si>
  <si>
    <t>警方报道逮捕15人；检方于2025-05-07披露起诉10人，另有1人另案起诉、4名少年由少年法庭调查；事件作为USDT场外交易与线下暴力/洗钱风险案例处理</t>
  </si>
  <si>
    <t>公视报道支持侦办时间、交易金额和逮捕人数；中央社转述台中地检署说明，支持2024-11-21行为日期与2025-05-07起诉情况；未取得判决文书。</t>
  </si>
  <si>
    <t>2025-03-21认罪；2025-03-27民事没收公告</t>
  </si>
  <si>
    <t>Gotbit市场操纵所得USDT／USDC民事没收</t>
  </si>
  <si>
    <t>USDT、USDC</t>
  </si>
  <si>
    <t>非托管钱包＋美国司法程序</t>
  </si>
  <si>
    <t>USDT/USDC是Gotbit市场操纵所得最终持有并被司法没收的资产</t>
  </si>
  <si>
    <t>Gotbit涉嫌市场操纵所得最终以USDT/USDC等加密资产保存在可识别钱包中</t>
  </si>
  <si>
    <t>市场操纵/欺诈所得 → 资金沉淀为USDT/USDC → DOJ追踪并控制资产 → 民事没收</t>
  </si>
  <si>
    <t>民事没收规模约2,300万美元，主要为USDT和USDC</t>
  </si>
  <si>
    <t>Gotbit及创始人认罪，公司停止运营，相关USDT/USDC进入民事没收程序</t>
  </si>
  <si>
    <t>2025-03后迁移；2025-08-14制裁披露</t>
  </si>
  <si>
    <t>Grinex／A7A5：受制裁通道迁移与新制裁</t>
  </si>
  <si>
    <t>A7A5（Old Vector发行，卢布支持）</t>
  </si>
  <si>
    <t>Grinex／Garantex／Old Vector；多链稳定币网络</t>
  </si>
  <si>
    <t>卢布支持稳定资产A7A5；与受制裁交易平台结算网络结合</t>
  </si>
  <si>
    <t>A7A5是Garantex受打击后用于迁移余额和继续结算的卢布稳定资产</t>
  </si>
  <si>
    <t>Garantex受打击后相关人员迁移至Grinex，并以A7A5重建受制裁结算与客户余额通道</t>
  </si>
  <si>
    <t>Garantex受打击 → 客户余额迁移至Grinex/A7A5 → 新制裁与链上追踪 → 替代网络继续承压</t>
  </si>
  <si>
    <t>A7A5/USDT价格稳定性不是案件核心；主要表现为受制裁结算网络迁移和再次被制裁。</t>
  </si>
  <si>
    <t>Grinex/A7A5承接Garantex迁移后形成数十亿美元级交易活动，并被进一步制裁</t>
  </si>
  <si>
    <t>Grinex及相关A7A5实体被进一步制裁，链上活动持续受到监测与限制</t>
  </si>
  <si>
    <t>OFAC/Chainalysis支持Grinex-A7A5迁移关系；具体客户余额迁移规模采用公开链上分析口径</t>
  </si>
  <si>
    <t>2025-04—05采购；2026-01-16披露</t>
  </si>
  <si>
    <t>伊朗央行USDT采购网络</t>
  </si>
  <si>
    <t>USDT（Tron→Ethereum跨链路径）</t>
  </si>
  <si>
    <t>Tron→Ethereum跨链路径＋Nobitex</t>
  </si>
  <si>
    <t>USDT是伊朗央行被归因采购及跨链流转的美元价值载体</t>
  </si>
  <si>
    <t>受制裁中央银行难以使用传统美元清算体系，转而采购USDT并通过交易所/跨链网络流转</t>
  </si>
  <si>
    <t>央行采购USDT → Nobitex等渠道分发 → 跨链转移 → 规避传统美元结算限制并形成可追踪制裁风险</t>
  </si>
  <si>
    <t>Elliptic归因至少5.07亿美元USDT由伊朗央行相关钱包网络采购/流转</t>
  </si>
  <si>
    <t>相关钱包被链上分析机构持续追踪，稳定币通道面临发行方冻结和制裁执法风险</t>
  </si>
  <si>
    <t>5.07亿美元为Elliptic基于泄露文件与链上归因的下限估计，并非伊朗央行官方披露</t>
  </si>
  <si>
    <t>2025-05-21（行为）；2025-09-10起诉；2025-10下旬一审</t>
  </si>
  <si>
    <t>太原万柏林：投资诈骗现金换USDT转移案</t>
  </si>
  <si>
    <t>线下现金交付＋USDT虚拟货币账户</t>
  </si>
  <si>
    <t>USDT是线下诈骗资金换币与跨境转移环节中的结算资产</t>
  </si>
  <si>
    <t>犯罪团伙将诈骗所得现金与USDT在场外环节对换，用于切断银行资金链并向外转移</t>
  </si>
  <si>
    <t>诈骗所得现金交付 → 场外兑换USDT → 资金转至虚拟货币账户 → 检察起诉与法院判决</t>
  </si>
  <si>
    <t>案件涉及147万元人民币现金与202,328 USDT的线下/链上兑换</t>
  </si>
  <si>
    <t>涉案人员被起诉/判决，现金—USDT转换链成为案件资金证据的一部分</t>
  </si>
  <si>
    <t>2026-02-24（查扣公告日）</t>
  </si>
  <si>
    <t>DOJ北卡东区约6,100万美元USDT查扣</t>
  </si>
  <si>
    <t>美国司法查扣的钱包网络（公告未限定单一链）</t>
  </si>
  <si>
    <t>USDT是诈骗所得被链上追踪并由执法机构查扣的资产</t>
  </si>
  <si>
    <t>诈骗资金经多钱包分层后仍以USDT保存，链上追踪与发行方配合使资产可被查扣</t>
  </si>
  <si>
    <t>杀猪盘诈骗 → 资金多地址分层 → HSI链上追踪 → Tether配合 → 超6100万USDT被查扣</t>
  </si>
  <si>
    <t>USDT未脱锚；案件核心是诈骗资产追踪、查扣和返还/没收程序。</t>
  </si>
  <si>
    <t>超过6,100万美元USDT被美国执法机构查扣</t>
  </si>
  <si>
    <t>美国执法机构控制涉案USDT并推进受害者识别、追赃与后续没收程序</t>
  </si>
  <si>
    <t>2026-04-28公开警示</t>
  </si>
  <si>
    <t>香港冒用持牌发行人身份的虚假稳定币代币</t>
  </si>
  <si>
    <t>HKDAP／HSBC代号虚假代币</t>
  </si>
  <si>
    <t>香港／公开市场</t>
  </si>
  <si>
    <t>虚假代币冒用持牌稳定币身份；无真实稳定机制</t>
  </si>
  <si>
    <t>虚假代币冒用持牌稳定币发行人身份，本身没有可信储备/稳定机制</t>
  </si>
  <si>
    <t>诈骗/仿冒主体借用持牌发行人名称和监管身份发行无真实授权的代币</t>
  </si>
  <si>
    <t>冒用持牌发行人身份 → 投资者可能误认监管保障 → 监管公开警示 → 虚假代币信誉受损</t>
  </si>
  <si>
    <t>不适用：相关Token本身即为冒用持牌身份的虚假代币，没有可信稳定机制可评价。</t>
  </si>
  <si>
    <t>无公开确认的直接资金损失；主要风险是投资者误认持牌/监管保障</t>
  </si>
  <si>
    <t>香港监管机构公开警示相关虚假代币，投资者被提醒核验持牌发行人和官方合约</t>
  </si>
  <si>
    <t>香港金管局/政府公告明确否认HKDAP/HSBC代币与持牌发行人有关</t>
  </si>
  <si>
    <t>2023-02-13（宣布）；2023-02-21（生效）</t>
  </si>
  <si>
    <t>BUSD 停止新增发行</t>
  </si>
  <si>
    <t>Paxos-issued BUSD（区别 Binance-Peg BUSD）</t>
  </si>
  <si>
    <t>Ethereum；托管与监管对象</t>
  </si>
  <si>
    <t>法币储备型；Paxos-issued BUSD以1:1储备和赎回支持</t>
  </si>
  <si>
    <t>BUSD是监管要求停止新增发行并进入有序赎回的稳定币</t>
  </si>
  <si>
    <t>E_RJ</t>
  </si>
  <si>
    <t>外部生态—监管法域风险</t>
  </si>
  <si>
    <t>纽约州监管要求Paxos停止新增BUSD发行，稳定币生命周期进入监管驱动收缩</t>
  </si>
  <si>
    <t>监管停止新增发行 → BUSD供应持续收缩 → 用户赎回/迁移 → 市场份额下降但维持有序兑付</t>
  </si>
  <si>
    <t>BUSD维持有序1:1赎回，没有发生持续脱锚；市场表现为供应量和交易覆盖持续收缩。</t>
  </si>
  <si>
    <t>32天内完成超过79亿美元BUSD赎回，未出现持续性兑付损失</t>
  </si>
  <si>
    <t>Paxos按监管要求停止新铸BUSD并持续1:1赎回，BUSD供应有序收缩</t>
  </si>
  <si>
    <t>2024支持退出计划；2025-07-11、08-29更新；09-01生效</t>
  </si>
  <si>
    <t>Tether旧链：停止直接铸赎与撤回冻结计划</t>
  </si>
  <si>
    <t>Omni、BCH SLP、Kusama、EOS、Algorand链上USDT</t>
  </si>
  <si>
    <t>Omni／BCH SLP／Kusama／EOS／Algorand</t>
  </si>
  <si>
    <t>USDT是五条历史链上停止直接铸赎/支持的旧版本资产</t>
  </si>
  <si>
    <t>五条历史链使用率和维护优先级下降，Tether停止这些链版本的直接铸造/赎回支持</t>
  </si>
  <si>
    <t>旧链支持收缩 → 停止直接铸赎/冻结计划调整 → 用户迁移至受支持网络 → 旧版本可用性降低</t>
  </si>
  <si>
    <t>USDT未脱锚；五条旧链版本的官方铸赎支持下降，跨链版本可用性分化。</t>
  </si>
  <si>
    <t>五条历史链停止直接铸赎支持；无直接资金损失</t>
  </si>
  <si>
    <t>Tether停止五条旧链的直接铸赎支持并调整冻结计划，用户被引导迁移到受支持网络</t>
  </si>
  <si>
    <t>2025-01公告；2025-03分阶段实施</t>
  </si>
  <si>
    <t>Kraken：EEA稳定币交易与持仓限制</t>
  </si>
  <si>
    <t>USDT等EEA受限稳定币</t>
  </si>
  <si>
    <t>Kraken EEA账户服务</t>
  </si>
  <si>
    <t>USDT等稳定币是Kraken EEA受限交易/持仓资产</t>
  </si>
  <si>
    <t>EEA监管合规要求促使Kraken分阶段限制USDT等稳定币交易与持有功能</t>
  </si>
  <si>
    <t>监管合规调整 → Kraken分阶段限制稳定币交易/持仓 → EEA用户转换或转移 → 区域流通受限</t>
  </si>
  <si>
    <t>受限稳定币未因Kraken政策本身脱锚；EEA用户的交易和持仓可用性下降。</t>
  </si>
  <si>
    <t>无直接资金损失；EEA用户稳定币交易/持仓功能受限</t>
  </si>
  <si>
    <t>Kraken按EEA合规安排完成稳定币限制，用户需转换、出售或转出受限资产</t>
  </si>
  <si>
    <t>2025-03-03公告；03-27保证金；03-31现货</t>
  </si>
  <si>
    <t>Binance EEA：稳定币交易与保证金业务调整</t>
  </si>
  <si>
    <t>USDT、FDUSD、TUSD、USDP、DAI、AEUR、XUSD；原公告另含PAXG</t>
  </si>
  <si>
    <t>Binance EEA账户服务</t>
  </si>
  <si>
    <t>多种稳定币是Binance EEA交易/保证金限制对象，稳定币机制本身未故障</t>
  </si>
  <si>
    <t>MiCA合规要求促使Binance下架/限制非合规稳定币交易与保证金服务</t>
  </si>
  <si>
    <t>MiCA合规要求 → Binance EEA下架现货/保证金 → 用户转换/转移资产 → 区域可用性下降</t>
  </si>
  <si>
    <t>稳定币本身未因Binance EEA限制而失去锚定；影响是区域交易、保证金和分发渠道收缩。</t>
  </si>
  <si>
    <t>无直接协议损失；EEA用户的多种稳定币现货与保证金交易可用性下降</t>
  </si>
  <si>
    <t>Binance按MiCA时间表完成EEA相关现货/保证金调整，用户仍可托管、提现或转换部分资产</t>
  </si>
  <si>
    <t>2025-03-21—2025-04-15</t>
  </si>
  <si>
    <t>Ethena GmbH：德国业务清算与赎回通道变化</t>
  </si>
  <si>
    <t>USDe（德国Ethena GmbH发行/赎回主体相关）</t>
  </si>
  <si>
    <t>德国发行主体与赎回安排</t>
  </si>
  <si>
    <t>USDe是德国发行主体退出后区域铸赎通道变化的稳定币</t>
  </si>
  <si>
    <t>BaFin监管措施与德国发行主体退出改变EEA用户铸造、赎回和服务实体</t>
  </si>
  <si>
    <t>德国监管行动 → GmbH停止铸赎并退出 → EEA用户迁移服务实体/赎回通道 → USDe整体机制继续运行</t>
  </si>
  <si>
    <t>USDe全球市场未因德国主体退出出现系统性脱锚；影响集中于EEA铸赎主体和法律服务边界。</t>
  </si>
  <si>
    <t>无直接攻击损失；德国发行/赎回安排被重构，USDe全球市场未出现同等幅度失稳</t>
  </si>
  <si>
    <t>Ethena GmbH退出德国业务，EEA用户转向其他实体/通道；USDe全球体系继续运行</t>
  </si>
  <si>
    <t>3月21日监管措施由Decrypt转述BaFin，4月15日退出声明可核；BaFin原页受访问限制，未作为读者主链接。</t>
  </si>
  <si>
    <t>2026-03（冻结发生期）</t>
  </si>
  <si>
    <t>Circle 16个业务钱包USDC冻结争议</t>
  </si>
  <si>
    <t>USDC（至少涉及TRON版本）</t>
  </si>
  <si>
    <t>TRON等／USDC合规冻结／美国司法程序</t>
  </si>
  <si>
    <t>USDC是Circle冻结争议中受合约控制的业务钱包余额</t>
  </si>
  <si>
    <t>Circle依据法律/合规程序冻结16个业务热钱包，冻结边界与后续部分解冻引发争议</t>
  </si>
  <si>
    <t>合规/法律程序触发冻结 → 16个业务钱包USDC不可用 → 企业资金周转受影响 → 部分钱包后续解冻</t>
  </si>
  <si>
    <t>USDC未脱锚；主要表现为业务钱包被冻结导致可用余额受限及后续解冻争议。</t>
  </si>
  <si>
    <t>16个业务热钱包中的USDC一度被冻结，部分钱包随后解冻</t>
  </si>
  <si>
    <t>Circle冻结后部分钱包据报道获得解冻；事件引发对发行方合规冻结边界的讨论</t>
  </si>
  <si>
    <t>法院命令与冻结事实可核；至少部分相关地址可核为TRON USDC，其余链版本以司法文件和链上证据为准；“错误冻结”属于外部批评，不作为既定结论</t>
  </si>
  <si>
    <t>2026-04-23（冻结披露日）</t>
  </si>
  <si>
    <t>Tether两地址约3.44亿美元USDT冻结</t>
  </si>
  <si>
    <t>Tron（Tether公告未列链；链上报道识别）</t>
  </si>
  <si>
    <t>USDT是发行方应执法请求冻结的资产，稳定机制本身未故障</t>
  </si>
  <si>
    <t>美国执法/OFAC向发行方提供地址风险信息，Tether利用黑名单能力实施资产冻结</t>
  </si>
  <si>
    <t>执法风险识别 → Tether黑名单冻结两个地址 → 约3.44亿USDT不可移动 → 由相应执法/司法程序决定后续处置</t>
  </si>
  <si>
    <t>USDT未脱锚；两个地址余额被冻结，表现为资产可用性而非价格稳定性变化。</t>
  </si>
  <si>
    <t>两个地址超过3.44亿美元USDT被冻结</t>
  </si>
  <si>
    <t>Tether完成地址冻结；后续资产所有权和处置取决于相应执法/司法程序</t>
  </si>
  <si>
    <t>Tether官方确认冻结金额；底层具体刑事案件和完整地址细节未在公告中公开</t>
  </si>
  <si>
    <t>案件来源与资产证明</t>
  </si>
  <si>
    <t>事件/稳定币</t>
  </si>
  <si>
    <t>补充来源</t>
  </si>
  <si>
    <t>资产证明说明</t>
  </si>
  <si>
    <t>Tether储备披露处罚/USDT</t>
  </si>
  <si>
    <t>独立资产/官方证明</t>
  </si>
  <si>
    <t>Tether储备调查和解/USDT</t>
  </si>
  <si>
    <t>BitShares全局清算/bitUSD</t>
  </si>
  <si>
    <t>事件来源兼资产证明</t>
  </si>
  <si>
    <t>TrueCoin储备披露争议/TUSD</t>
  </si>
  <si>
    <t>独立官方资产/产品证明</t>
  </si>
  <si>
    <t>Neutrino多次脱锚/USDN</t>
  </si>
  <si>
    <t>NEAR资产缺口退出/USN</t>
  </si>
  <si>
    <t>Neutrino失稳转型/USDN</t>
  </si>
  <si>
    <t>Circle储备银行危机/USDC</t>
  </si>
  <si>
    <t>Tangible兑付缺口/USDR</t>
  </si>
  <si>
    <t>Inter Protocol停止运行/IST</t>
  </si>
  <si>
    <t>Mountain有序退出/USDM</t>
  </si>
  <si>
    <t>Paxos停止发行迁移/USDL</t>
  </si>
  <si>
    <t>Stream外管损失暂停/xUSD</t>
  </si>
  <si>
    <t>GMO停止发行/GYEN·ZUSD</t>
  </si>
  <si>
    <t>PolBase特权提现/PBC</t>
  </si>
  <si>
    <t>TSD治理权接管/TSD</t>
  </si>
  <si>
    <t>Wault固定兑价失衡/WUSD</t>
  </si>
  <si>
    <t>Mochi特权信用扩张/USDM</t>
  </si>
  <si>
    <t>Elephant储备攻击/TRUNK</t>
  </si>
  <si>
    <t>https://crypto.training/hacks/2022-04-elephant_money/</t>
  </si>
  <si>
    <t>第二来源兼资产证明</t>
  </si>
  <si>
    <t>Beanstalk闪贷治理/BEAN</t>
  </si>
  <si>
    <t>Linear发行权限失陷/lUSD</t>
  </si>
  <si>
    <t>https://www.theblock.co/post/252408/linear-finance-reports-attack-that-drained-linear-usd-liquidity-on-pancakeswap-and-ascendex</t>
  </si>
  <si>
    <t>Resolv异常铸造/USR</t>
  </si>
  <si>
    <t>StablR未授权增发/USDR·EURR</t>
  </si>
  <si>
    <t>Origin重入异常铸币/OUSD</t>
  </si>
  <si>
    <t>Haven验证漏洞增发/xUSD</t>
  </si>
  <si>
    <t>https://havenprotocol.org/2021/07/16/hard-fork-rollback/</t>
  </si>
  <si>
    <t>SafeDollar奖励计算漏洞/SDO</t>
  </si>
  <si>
    <t>Cashio伪造抵押铸币/CASH</t>
  </si>
  <si>
    <t>Nirvana价格曲线操纵/NIRV</t>
  </si>
  <si>
    <t>Acala奖励配置增发/aUSD</t>
  </si>
  <si>
    <t>Abracadabra旧价自清算/MIM</t>
  </si>
  <si>
    <t>https://blocksecteam.medium.com/beyond-the-market-risk-a-logic-bug-identified-in-sushiswaps-kashipairmediumriskv1-contract-80ead49d8d6d</t>
  </si>
  <si>
    <t>Defrost管理员权限攻击/H2O</t>
  </si>
  <si>
    <t>https://www.coindesk.com/business/2022/12/26/defrost-finance-says-hacked-funds-have-been-returned</t>
  </si>
  <si>
    <t>Sperax余额迁移漏洞/USDs</t>
  </si>
  <si>
    <t>Platypus提款逻辑漏洞/USP</t>
  </si>
  <si>
    <t>Kujira抵押估值漏洞/USK</t>
  </si>
  <si>
    <t>DEUS授权参数漏洞/DEI</t>
  </si>
  <si>
    <t>Palmswap资产捐赠操纵/USDP</t>
  </si>
  <si>
    <t>Raft舍入异常铸币/R</t>
  </si>
  <si>
    <t>Abracadabra债务舍入/MIM</t>
  </si>
  <si>
    <t>Prisma迁移重入攻击/mkUSD</t>
  </si>
  <si>
    <t>Anzen金库精度漏洞/USDz</t>
  </si>
  <si>
    <t>Zoth抵押计量错误/ZeUSD</t>
  </si>
  <si>
    <t>Zoth官方ZeUSD代币与合约说明</t>
  </si>
  <si>
    <t>USPD初始化代理劫持/USPD</t>
  </si>
  <si>
    <t>Abracadabra偿付绕过/MIM</t>
  </si>
  <si>
    <t>DEUS现货预言机操纵/DEI</t>
  </si>
  <si>
    <t>https://rekt.news/deus-dao-rekt</t>
  </si>
  <si>
    <t>DEUS VWAP预言机操纵/DEI</t>
  </si>
  <si>
    <t>https://rekt.news/deus-dao-rekt-2</t>
  </si>
  <si>
    <t>bDollar价格操纵/BDO</t>
  </si>
  <si>
    <t>Bonq预言机操纵/BEUR</t>
  </si>
  <si>
    <t>Zunami策略估值操纵/UZD</t>
  </si>
  <si>
    <t>https://www.halborn.com/blog/post/explained-the-zunami-protocol-hack-august-2023</t>
  </si>
  <si>
    <t>TheStandard抵押交换操纵/EUROs</t>
  </si>
  <si>
    <t>https://medium.com/thestandard-io/unity-triumphs-thestandard-io-d8beadc6a2e0</t>
  </si>
  <si>
    <t>Resupply空金库取价/reUSD</t>
  </si>
  <si>
    <t>Money on Chain预言机故障/DOC</t>
  </si>
  <si>
    <t>NuBits流动性枯竭/NBT</t>
  </si>
  <si>
    <t>Terra流动性挤兑/UST</t>
  </si>
  <si>
    <t>FDUSD储备争议脱锚/FDUSD</t>
  </si>
  <si>
    <t>https://www.binance.com/en/support/announcement/detail/a43abc2076b14f768669703ee5f93574</t>
  </si>
  <si>
    <t>Ethena场所价格偏离/USDe</t>
  </si>
  <si>
    <t>Ethena官方资产与储备说明</t>
  </si>
  <si>
    <t>Stables Labs流动性失稳/USDX</t>
  </si>
  <si>
    <t>https://pharos.watch/learn/case-studies/stream-elixir-contagion-2025/</t>
  </si>
  <si>
    <t>ESD收缩修复失效/ESD</t>
  </si>
  <si>
    <t>Fei退出惩罚失灵/FEI</t>
  </si>
  <si>
    <t>Synthetix债务回锚/sUSD</t>
  </si>
  <si>
    <t>https://blog.synthetix.io/synthetix-susd-peg-update/</t>
  </si>
  <si>
    <t>Iron Finance信心挤兑/IRON</t>
  </si>
  <si>
    <t>WLFI负面信息冲击与短时价格偏离/USD1</t>
  </si>
  <si>
    <t>https://www.theblock.co/news/markets/2026-02-23-trump-backed-world-liberty-financial-says-usd1-short-and-social-media-attack-fails-as-stablecoin-briefly-dips-390857
https://www.chaincatcher.com/article/2247478
https://data.binance.vision/data/spot/monthly/klines/USD1USDT/1h/USD1USDT-1h-2026-02.zip</t>
  </si>
  <si>
    <t>Tether金库遭窃/USDT</t>
  </si>
  <si>
    <t>https://tether.io/news/update-on-security-incident/</t>
  </si>
  <si>
    <t>Iron vFarm奖励配置/IRON</t>
  </si>
  <si>
    <t>CoinFLEX提现暂停/flexUSD</t>
  </si>
  <si>
    <t>Solend薄池价格操纵/USDH</t>
  </si>
  <si>
    <t>https://v2.solend.fi/</t>
  </si>
  <si>
    <t>Euler攻击传染Angle/agEUR</t>
  </si>
  <si>
    <t>Yearn旧iEarn配置漏洞/USDT</t>
  </si>
  <si>
    <t>Elephant回购合约操纵/TRUNK·BUSD</t>
  </si>
  <si>
    <t>Seneca授权滥用/senUSD</t>
  </si>
  <si>
    <t>UwU借贷协议攻击/sUSDe</t>
  </si>
  <si>
    <t>Infini残留权限提取/USDC</t>
  </si>
  <si>
    <t>Zoth金库恶意升级/USD0++</t>
  </si>
  <si>
    <t>Abracadabra GM抵押攻击/MIM</t>
  </si>
  <si>
    <t>Nobitex破坏性攻击/USDT等</t>
  </si>
  <si>
    <t>Kujira合并退出/USK</t>
  </si>
  <si>
    <t>Elixir对手方传染/deUSD</t>
  </si>
  <si>
    <t>Gyroscope跨链授权/GYD</t>
  </si>
  <si>
    <t>YieldBlox预言机操纵/USDC</t>
  </si>
  <si>
    <t>LlamaLend捐赠清算/crvUSD</t>
  </si>
  <si>
    <t>Curve官方合约仓库（LlamaLend/crvUSD）</t>
  </si>
  <si>
    <t>GnosisPay签名绕过/EURe</t>
  </si>
  <si>
    <t>MainStreet验证服务终止/msUSD</t>
  </si>
  <si>
    <t>Main Street官方产品条款</t>
  </si>
  <si>
    <t>DeFiTuna薄池偿付绕过/USDC</t>
  </si>
  <si>
    <t>ICON迁移消息重放/bnUSD</t>
  </si>
  <si>
    <t>Rain卡合约授权绕过/USDC·USDT</t>
  </si>
  <si>
    <t>Cozy虚假保险触发/USDC.e</t>
  </si>
  <si>
    <t>Notional遗留合约漏洞/USDC·DAI</t>
  </si>
  <si>
    <t>郭某钊非法换汇/USDT</t>
  </si>
  <si>
    <t>https://www.safe.gov.cn/safe/2023/1227/23710.html</t>
  </si>
  <si>
    <t>Garantex非法结算/USDT</t>
  </si>
  <si>
    <t>Huione洗钱结算/USDT</t>
  </si>
  <si>
    <t>上海地下钱庄换汇/USDT</t>
  </si>
  <si>
    <t>杀猪盘诈骗网络追缴/USDT</t>
  </si>
  <si>
    <t>TGR洗钱网络制裁/USDT</t>
  </si>
  <si>
    <t>Shelbit制裁规避结算/USDT</t>
  </si>
  <si>
    <t>投资诈骗团伙黄金洗钱/USDT</t>
  </si>
  <si>
    <t>台中OTC团伙暴力纠纷/USDT</t>
  </si>
  <si>
    <t>https://www.cna.com.tw/news/asoc/202505070082.aspx</t>
  </si>
  <si>
    <t>Gotbit市场操纵所得/USDT·USDC</t>
  </si>
  <si>
    <t>Grinex制裁通道迁移/A7A5</t>
  </si>
  <si>
    <t>https://www.chainalysis.com/blog/a7a5-grinex-russian-crypto-economy-ofac-sanctions-august-2025/</t>
  </si>
  <si>
    <t>伊朗央行大额购入/USDT</t>
  </si>
  <si>
    <t>太原诈骗团伙资金转移/USDT</t>
  </si>
  <si>
    <t>投资诈骗网络资金查扣/USDT</t>
  </si>
  <si>
    <t>香港冒牌发行人诈骗/HKDAP·HSBC</t>
  </si>
  <si>
    <t>Paxos监管停发/BUSD</t>
  </si>
  <si>
    <t>Tether旧链停止支持/USDT</t>
  </si>
  <si>
    <t>Kraken欧洲交易限制/USDT等</t>
  </si>
  <si>
    <t>Binance欧洲交易限制/多稳定币</t>
  </si>
  <si>
    <t>https://www.esma.europa.eu/sites/default/files/2025-01/ESMA75-223375936-6099_Statement_on_stablecoins.pdf</t>
  </si>
  <si>
    <t>Ethena德国业务清算/USDe</t>
  </si>
  <si>
    <t>Circle业务钱包冻结/USDC</t>
  </si>
  <si>
    <t>Tether执法协作冻结/USDT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</si>
</sst>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6">
    <font>
      <sz val="11"/>
      <name val="Carlito"/>
      <charset val="134"/>
    </font>
    <font>
      <sz val="10"/>
      <color rgb="FF243044"/>
      <name val="Microsoft YaHei"/>
      <charset val="134"/>
    </font>
    <font>
      <b/>
      <sz val="15"/>
      <color rgb="FF243044"/>
      <name val="Microsoft YaHei"/>
      <charset val="134"/>
    </font>
    <font>
      <b/>
      <sz val="10"/>
      <color rgb="FF243044"/>
      <name val="Microsoft YaHei"/>
      <charset val="134"/>
    </font>
    <font>
      <sz val="10"/>
      <color rgb="FF285EA8"/>
      <name val="Microsoft YaHei"/>
      <charset val="134"/>
    </font>
    <font>
      <sz val="10"/>
      <color rgb="FF59677B"/>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EAF0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D9DFE8"/>
      </bottom>
      <diagonal/>
    </border>
    <border>
      <left/>
      <right/>
      <top style="thin">
        <color rgb="FFD9DFE8"/>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4" borderId="6" applyNumberFormat="0" applyAlignment="0" applyProtection="0">
      <alignment vertical="center"/>
    </xf>
    <xf numFmtId="0" fontId="16" fillId="5" borderId="7" applyNumberFormat="0" applyAlignment="0" applyProtection="0">
      <alignment vertical="center"/>
    </xf>
    <xf numFmtId="0" fontId="17" fillId="5" borderId="6" applyNumberFormat="0" applyAlignment="0" applyProtection="0">
      <alignment vertical="center"/>
    </xf>
    <xf numFmtId="0" fontId="18" fillId="6"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cellStyleXfs>
  <cellXfs count="18">
    <xf numFmtId="0" fontId="0" fillId="0" borderId="0" xfId="49"/>
    <xf numFmtId="0" fontId="1" fillId="0" borderId="0" xfId="49" applyNumberFormat="1" applyFont="1" applyFill="1" applyBorder="1" applyAlignment="1">
      <alignment vertical="center"/>
    </xf>
    <xf numFmtId="0" fontId="2" fillId="0" borderId="1" xfId="49" applyNumberFormat="1" applyFont="1" applyFill="1" applyBorder="1" applyAlignment="1">
      <alignment vertical="center"/>
    </xf>
    <xf numFmtId="0" fontId="3" fillId="2" borderId="1" xfId="49" applyNumberFormat="1" applyFont="1" applyFill="1" applyBorder="1" applyAlignment="1">
      <alignment horizontal="center" vertical="center" wrapText="1"/>
    </xf>
    <xf numFmtId="0" fontId="1" fillId="0" borderId="0" xfId="49" applyNumberFormat="1" applyFont="1" applyFill="1" applyBorder="1" applyAlignment="1">
      <alignment horizontal="right" vertical="center" wrapText="1"/>
    </xf>
    <xf numFmtId="0" fontId="1" fillId="0" borderId="0" xfId="49" applyNumberFormat="1" applyFont="1" applyFill="1" applyBorder="1" applyAlignment="1">
      <alignment vertical="top" wrapText="1"/>
    </xf>
    <xf numFmtId="0" fontId="4" fillId="0" borderId="0" xfId="49" applyNumberFormat="1" applyFont="1" applyFill="1" applyBorder="1" applyAlignment="1">
      <alignment vertical="top" wrapText="1"/>
    </xf>
    <xf numFmtId="0" fontId="4" fillId="0" borderId="0" xfId="49" applyNumberFormat="1" applyFont="1" applyFill="1" applyBorder="1" applyAlignment="1">
      <alignment vertical="center" wrapText="1"/>
    </xf>
    <xf numFmtId="0" fontId="5" fillId="0" borderId="0" xfId="49" applyNumberFormat="1" applyFont="1" applyFill="1" applyBorder="1" applyAlignment="1">
      <alignment vertical="center"/>
    </xf>
    <xf numFmtId="0" fontId="1" fillId="0" borderId="0" xfId="49" applyNumberFormat="1" applyFont="1" applyFill="1" applyBorder="1" applyAlignment="1">
      <alignment horizontal="right" vertical="center"/>
    </xf>
    <xf numFmtId="0" fontId="3" fillId="0" borderId="2" xfId="49" applyNumberFormat="1" applyFont="1" applyFill="1" applyBorder="1" applyAlignment="1">
      <alignment vertical="center"/>
    </xf>
    <xf numFmtId="0" fontId="3" fillId="0" borderId="2" xfId="49" applyNumberFormat="1" applyFont="1" applyFill="1" applyBorder="1" applyAlignment="1">
      <alignment horizontal="right" vertical="center"/>
    </xf>
    <xf numFmtId="0" fontId="3" fillId="0" borderId="0" xfId="49" applyNumberFormat="1" applyFont="1" applyFill="1" applyBorder="1" applyAlignment="1">
      <alignment vertical="center"/>
    </xf>
    <xf numFmtId="176" fontId="1" fillId="0" borderId="0" xfId="49" applyNumberFormat="1" applyFont="1" applyFill="1" applyBorder="1" applyAlignment="1">
      <alignment horizontal="right" vertical="center"/>
    </xf>
    <xf numFmtId="0" fontId="1" fillId="0" borderId="2" xfId="49" applyNumberFormat="1" applyFont="1" applyFill="1" applyBorder="1" applyAlignment="1">
      <alignment vertical="center"/>
    </xf>
    <xf numFmtId="0" fontId="1" fillId="0" borderId="2" xfId="49" applyNumberFormat="1" applyFont="1" applyFill="1" applyBorder="1" applyAlignment="1">
      <alignment horizontal="right" vertical="center"/>
    </xf>
    <xf numFmtId="176" fontId="1" fillId="0" borderId="2" xfId="49" applyNumberFormat="1" applyFont="1" applyFill="1" applyBorder="1" applyAlignment="1">
      <alignment horizontal="right" vertical="center"/>
    </xf>
    <xf numFmtId="0" fontId="1" fillId="0" borderId="0"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StablecoinCasesV32" displayName="StablecoinCasesV32" ref="A4:U112" totalsRowShown="0">
  <tableColumns count="21">
    <tableColumn id="1" name="序号"/>
    <tableColumn id="2" name="事件时间"/>
    <tableColumn id="3" name="事件名称"/>
    <tableColumn id="4" name="稳定币/资产版本"/>
    <tableColumn id="5" name="链/主要场景"/>
    <tableColumn id="6" name="价值支撑方式"/>
    <tableColumn id="7" name="稳定币角色"/>
    <tableColumn id="8" name="风险起点"/>
    <tableColumn id="9" name="风险空间"/>
    <tableColumn id="10" name="风险类型"/>
    <tableColumn id="11" name="风险性质"/>
    <tableColumn id="12" name="首个关键风险条件"/>
    <tableColumn id="13" name="事件过程"/>
    <tableColumn id="14" name="价格偏离情况"/>
    <tableColumn id="15" name="市场表现"/>
    <tableColumn id="16" name="影响规模"/>
    <tableColumn id="17" name="处置结果"/>
    <tableColumn id="18" name="传播空间序列"/>
    <tableColumn id="19" name="证据限定"/>
    <tableColumn id="20" name="事件依据"/>
    <tableColumn id="21" name="资产证明"/>
  </tableColumns>
  <tableStyleInfo name="TableStyleLight1" showFirstColumn="0" showLastColumn="0" showRowStripes="1" showColumnStripes="0"/>
</table>
</file>

<file path=xl/tables/table2.xml><?xml version="1.0" encoding="utf-8"?>
<table xmlns="http://schemas.openxmlformats.org/spreadsheetml/2006/main" id="2" name="CaseSources" displayName="CaseSources" ref="A4:F112" totalsRowShown="0">
  <tableColumns count="6">
    <tableColumn id="1" name="序号"/>
    <tableColumn id="2" name="事件/稳定币"/>
    <tableColumn id="3" name="事件依据"/>
    <tableColumn id="4" name="资产证明"/>
    <tableColumn id="5" name="补充来源"/>
    <tableColumn id="6" name="资产证明说明"/>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9" Type="http://schemas.openxmlformats.org/officeDocument/2006/relationships/hyperlink" Target="https://medium.com/elephant-money/minor-exploit-of-the-busd-buy-back-governance-contract-134ba8e902d9" TargetMode="External"/><Relationship Id="rId98" Type="http://schemas.openxmlformats.org/officeDocument/2006/relationships/hyperlink" Target="https://www.certik.com/blog/earnings-misconfigured-yearn-finance-exploit-explained" TargetMode="External"/><Relationship Id="rId97" Type="http://schemas.openxmlformats.org/officeDocument/2006/relationships/hyperlink" Target="https://docs.angle.money/" TargetMode="External"/><Relationship Id="rId96" Type="http://schemas.openxmlformats.org/officeDocument/2006/relationships/hyperlink" Target="https://blog.angle.money/euler-hack-reflection-learning-adapting-and-strengthening-angle-protocol" TargetMode="External"/><Relationship Id="rId95" Type="http://schemas.openxmlformats.org/officeDocument/2006/relationships/hyperlink" Target="https://immunebytes.medium.com/solends-isolated-pools-exploitation-nov-2-2022-detailed-analysis-immunebytes-2c2937e48453" TargetMode="External"/><Relationship Id="rId94" Type="http://schemas.openxmlformats.org/officeDocument/2006/relationships/hyperlink" Target="https://www.coindesk.com/business/2022/06/23/coinflex-pauses-withdrawals-amid-extreme-market-conditions-and-counterparty-uncertainty" TargetMode="External"/><Relationship Id="rId93" Type="http://schemas.openxmlformats.org/officeDocument/2006/relationships/hyperlink" Target="https://ironfinance.medium.com/iron-finance-vfarms-incident-post-mortem-16-march-2021-114e58d1eaac" TargetMode="External"/><Relationship Id="rId92" Type="http://schemas.openxmlformats.org/officeDocument/2006/relationships/hyperlink" Target="https://tether.io/news/tether-critical-announcement/" TargetMode="External"/><Relationship Id="rId91" Type="http://schemas.openxmlformats.org/officeDocument/2006/relationships/hyperlink" Target="https://worldlibertyfinancial.com/usd1" TargetMode="External"/><Relationship Id="rId90" Type="http://schemas.openxmlformats.org/officeDocument/2006/relationships/hyperlink" Target="https://www.reuters.com/sustainability/boards-policy-regulation/trump-backed-crypto-stablecoin-dips-following-attack-quickly-recovers-2026-02-23/" TargetMode="External"/><Relationship Id="rId9" Type="http://schemas.openxmlformats.org/officeDocument/2006/relationships/hyperlink" Target="https://www.coindesk.com/markets/2022/10/24/near-foundation-urges-wind-down-of-usn-stablecoin-sets-aside-40m" TargetMode="External"/><Relationship Id="rId89" Type="http://schemas.openxmlformats.org/officeDocument/2006/relationships/hyperlink" Target="https://www.federalreserve.gov/econres/notes/feds-notes/runs-on-algorithmic-stablecoins-evidence-from-iron-titan-and-steel-20220602.html" TargetMode="External"/><Relationship Id="rId88" Type="http://schemas.openxmlformats.org/officeDocument/2006/relationships/hyperlink" Target="https://docs.synthetix.io/links" TargetMode="External"/><Relationship Id="rId87" Type="http://schemas.openxmlformats.org/officeDocument/2006/relationships/hyperlink" Target="https://blog.synthetix.io/the-repeggening/" TargetMode="External"/><Relationship Id="rId86" Type="http://schemas.openxmlformats.org/officeDocument/2006/relationships/hyperlink" Target="https://medium.com/fei-protocol/what-you-should-know-about-fei-3ccffd4a4bb6" TargetMode="External"/><Relationship Id="rId85" Type="http://schemas.openxmlformats.org/officeDocument/2006/relationships/hyperlink" Target="https://medium.com/emptysetdollar/an-ama-with-equal-parenthesis-a1c29dafc239" TargetMode="External"/><Relationship Id="rId84" Type="http://schemas.openxmlformats.org/officeDocument/2006/relationships/hyperlink" Target="https://pharos.watch/learn/case-studies/stream-elixir-contagion-2025/" TargetMode="External"/><Relationship Id="rId83" Type="http://schemas.openxmlformats.org/officeDocument/2006/relationships/hyperlink" Target="https://www.theblock.co/news/markets/2025-11-06-synthetic-stablecoin-usdx-depegs-pancakeswap-lista-377917" TargetMode="External"/><Relationship Id="rId82" Type="http://schemas.openxmlformats.org/officeDocument/2006/relationships/hyperlink" Target="https://docs.ethena.fi/resources/usde-terms-and-conditions" TargetMode="External"/><Relationship Id="rId81" Type="http://schemas.openxmlformats.org/officeDocument/2006/relationships/hyperlink" Target="https://gov.ethenafoundation.com/t/usde-analysis-during-the-oct-10th-11th-volatility-event/706" TargetMode="External"/><Relationship Id="rId80" Type="http://schemas.openxmlformats.org/officeDocument/2006/relationships/hyperlink" Target="https://www.firstdigitallabs.com/" TargetMode="External"/><Relationship Id="rId8" Type="http://schemas.openxmlformats.org/officeDocument/2006/relationships/hyperlink" Target="https://llamarisk.com/research/archive-llamarisk-a-risk-assessment-on-neutrino-s-usdn-ecosystem-for-vecrv-holders-and-lps" TargetMode="External"/><Relationship Id="rId79" Type="http://schemas.openxmlformats.org/officeDocument/2006/relationships/hyperlink" Target="https://www.theblock.co/news/regulation/2025-04-02-tron-justin-sun-trueusd-fiduciary-insolvent-techteryx-tusd-first-digital-aria-349289" TargetMode="External"/><Relationship Id="rId78" Type="http://schemas.openxmlformats.org/officeDocument/2006/relationships/hyperlink" Target="https://www.richmondfed.org/publications/research/economic_brief/2022/eb_22-24" TargetMode="External"/><Relationship Id="rId77" Type="http://schemas.openxmlformats.org/officeDocument/2006/relationships/hyperlink" Target="https://discuss.nubits.com/t/so-whats-happened-to-the-pegging-since-19th-march/6009/6" TargetMode="External"/><Relationship Id="rId76" Type="http://schemas.openxmlformats.org/officeDocument/2006/relationships/hyperlink" Target="https://moneyonchain.com/doc-stablecoin/" TargetMode="External"/><Relationship Id="rId75" Type="http://schemas.openxmlformats.org/officeDocument/2006/relationships/hyperlink" Target="https://forum.moneyonchain.com/t/panic-button-activation-incident-report/462" TargetMode="External"/><Relationship Id="rId74" Type="http://schemas.openxmlformats.org/officeDocument/2006/relationships/hyperlink" Target="https://research.blockscope.co/resupplyfi-exploit" TargetMode="External"/><Relationship Id="rId73" Type="http://schemas.openxmlformats.org/officeDocument/2006/relationships/hyperlink" Target="https://medium.com/thestandard-io/unity-triumphs-thestandard-io-d8beadc6a2e0" TargetMode="External"/><Relationship Id="rId72" Type="http://schemas.openxmlformats.org/officeDocument/2006/relationships/hyperlink" Target="https://dedaub.com/blog/thestandard-io-exploit/" TargetMode="External"/><Relationship Id="rId71" Type="http://schemas.openxmlformats.org/officeDocument/2006/relationships/hyperlink" Target="https://www.halborn.com/blog/post/explained-the-zunami-protocol-hack-august-2023" TargetMode="External"/><Relationship Id="rId70" Type="http://schemas.openxmlformats.org/officeDocument/2006/relationships/hyperlink" Target="https://crypto.training/hacks/2023-08-zunami/" TargetMode="External"/><Relationship Id="rId7" Type="http://schemas.openxmlformats.org/officeDocument/2006/relationships/hyperlink" Target="https://www.tusd.io/" TargetMode="External"/><Relationship Id="rId69" Type="http://schemas.openxmlformats.org/officeDocument/2006/relationships/hyperlink" Target="https://medium.com/immunefi/hack-analysis-bonqdao-february-2023-ef6aab0086d6" TargetMode="External"/><Relationship Id="rId68" Type="http://schemas.openxmlformats.org/officeDocument/2006/relationships/hyperlink" Target="https://medium.com/@Knownsec_Blockchain_Lab/knownsec-blockchain-lab-the-bdollar-project-is-under-attack-how-can-price-become-a-weapon-504a88bde08c" TargetMode="External"/><Relationship Id="rId67" Type="http://schemas.openxmlformats.org/officeDocument/2006/relationships/hyperlink" Target="https://rekt.news/deus-dao-rekt-2" TargetMode="External"/><Relationship Id="rId66" Type="http://schemas.openxmlformats.org/officeDocument/2006/relationships/hyperlink" Target="https://www.certik.com/blog/2022-year-in-review-lending-protocols" TargetMode="External"/><Relationship Id="rId65" Type="http://schemas.openxmlformats.org/officeDocument/2006/relationships/hyperlink" Target="https://rekt.news/deus-dao-rekt" TargetMode="External"/><Relationship Id="rId64" Type="http://schemas.openxmlformats.org/officeDocument/2006/relationships/hyperlink" Target="https://smartcontractshacking.com/hacks/deus-finance-march-hack-2022" TargetMode="External"/><Relationship Id="rId63" Type="http://schemas.openxmlformats.org/officeDocument/2006/relationships/hyperlink" Target="https://itokenly.com/hacks/abracadabra-money-october-2025" TargetMode="External"/><Relationship Id="rId62" Type="http://schemas.openxmlformats.org/officeDocument/2006/relationships/hyperlink" Target="https://uspd.io/blog/cpimp-attack-postmortem" TargetMode="External"/><Relationship Id="rId61" Type="http://schemas.openxmlformats.org/officeDocument/2006/relationships/hyperlink" Target="https://docs.zoth.io/zoth/tech-center/smart-contracts/zeusd-token" TargetMode="External"/><Relationship Id="rId60" Type="http://schemas.openxmlformats.org/officeDocument/2006/relationships/hyperlink" Target="https://blog.verichains.io/p/anatomy-of-a-hack-how-a-simple-logic" TargetMode="External"/><Relationship Id="rId6" Type="http://schemas.openxmlformats.org/officeDocument/2006/relationships/hyperlink" Target="https://www.sec.gov/newsroom/press-releases/2024-145" TargetMode="External"/><Relationship Id="rId59" Type="http://schemas.openxmlformats.org/officeDocument/2006/relationships/hyperlink" Target="https://docs.anzen.finance/usdz-101/overview" TargetMode="External"/><Relationship Id="rId58" Type="http://schemas.openxmlformats.org/officeDocument/2006/relationships/hyperlink" Target="https://www.quadrigainitiative.com/hackfraudscam/anzenfinancesmartcontractdecimalvulnerability.php" TargetMode="External"/><Relationship Id="rId57" Type="http://schemas.openxmlformats.org/officeDocument/2006/relationships/hyperlink" Target="https://www.llamarisk.com/research/risk-prisma-finance-incident-march-28-2024-post-mortem" TargetMode="External"/><Relationship Id="rId56" Type="http://schemas.openxmlformats.org/officeDocument/2006/relationships/hyperlink" Target="https://itokenly.com/hacks/abracadabra-money-cauldrons" TargetMode="External"/><Relationship Id="rId55" Type="http://schemas.openxmlformats.org/officeDocument/2006/relationships/hyperlink" Target="https://paragraph.com/@raft/raft-security-incident-post-mortem-analysis-and-recovery-plan" TargetMode="External"/><Relationship Id="rId54" Type="http://schemas.openxmlformats.org/officeDocument/2006/relationships/hyperlink" Target="https://www.certik.com/blog/palmswap-incident-analysis" TargetMode="External"/><Relationship Id="rId53" Type="http://schemas.openxmlformats.org/officeDocument/2006/relationships/hyperlink" Target="https://www.certik.com/blog/stablecoin-stumble-the-code-bug-led-to-usd6-5-million-loss-on-deus-finance" TargetMode="External"/><Relationship Id="rId52" Type="http://schemas.openxmlformats.org/officeDocument/2006/relationships/hyperlink" Target="https://docs.kujira.app/dapps-and-infrastructure/usk-stablecoin/basics" TargetMode="External"/><Relationship Id="rId51" Type="http://schemas.openxmlformats.org/officeDocument/2006/relationships/hyperlink" Target="https://smartcontractshacking.com/hacks/kujira-hack-2023" TargetMode="External"/><Relationship Id="rId50" Type="http://schemas.openxmlformats.org/officeDocument/2006/relationships/hyperlink" Target="https://medium.com/immunefi/hack-analysis-platypus-finance-february-2023-d11fce37d861" TargetMode="External"/><Relationship Id="rId5" Type="http://schemas.openxmlformats.org/officeDocument/2006/relationships/hyperlink" Target="https://github.com/bitshares/bsips/blob/master/bsip-0071.md" TargetMode="External"/><Relationship Id="rId49" Type="http://schemas.openxmlformats.org/officeDocument/2006/relationships/hyperlink" Target="https://docs.sperax.io/master/technical-documents/smart-contracts/usds" TargetMode="External"/><Relationship Id="rId48" Type="http://schemas.openxmlformats.org/officeDocument/2006/relationships/hyperlink" Target="https://medium.com/sperax/usds-feb-3-exploit-report-from-engineering-team-9f0fd3cef00c" TargetMode="External"/><Relationship Id="rId47" Type="http://schemas.openxmlformats.org/officeDocument/2006/relationships/hyperlink" Target="https://www.coindesk.com/business/2022/12/26/defrost-finance-says-hacked-funds-have-been-returned" TargetMode="External"/><Relationship Id="rId46" Type="http://schemas.openxmlformats.org/officeDocument/2006/relationships/hyperlink" Target="https://www.halborn.com/blog/post/explained-the-defrost-hack-december-2022" TargetMode="External"/><Relationship Id="rId45" Type="http://schemas.openxmlformats.org/officeDocument/2006/relationships/hyperlink" Target="https://docs.abracadabra.money/learn/tokens/tokenomics" TargetMode="External"/><Relationship Id="rId44" Type="http://schemas.openxmlformats.org/officeDocument/2006/relationships/hyperlink" Target="https://eigenphi.substack.com/p/casting-a-magic-spell-on-abracadabra" TargetMode="External"/><Relationship Id="rId43" Type="http://schemas.openxmlformats.org/officeDocument/2006/relationships/hyperlink" Target="https://medium.com/acalanetwork/acala-incident-report-14-08-2022-392089588642" TargetMode="External"/><Relationship Id="rId42" Type="http://schemas.openxmlformats.org/officeDocument/2006/relationships/hyperlink" Target="https://www.justice.gov/usao-sdny/pr/former-security-engineer-international-technology-company-pleads-guilty-hacking-two" TargetMode="External"/><Relationship Id="rId41" Type="http://schemas.openxmlformats.org/officeDocument/2006/relationships/hyperlink" Target="https://www.certik.com/zh-CN/blog/cashio-app-incident-analysis" TargetMode="External"/><Relationship Id="rId40" Type="http://schemas.openxmlformats.org/officeDocument/2006/relationships/hyperlink" Target="https://safedollar.medium.com/safedollar-post-mortem-analysis-cb2769fe059" TargetMode="External"/><Relationship Id="rId4" Type="http://schemas.openxmlformats.org/officeDocument/2006/relationships/hyperlink" Target="https://ag.ny.gov/press-release/2021/attorney-general-james-ends-virtual-currency-trading-platform-bitfinexs-illegal" TargetMode="External"/><Relationship Id="rId39" Type="http://schemas.openxmlformats.org/officeDocument/2006/relationships/hyperlink" Target="https://havenprotocol.org/2021/07/16/hard-fork-rollback/" TargetMode="External"/><Relationship Id="rId38" Type="http://schemas.openxmlformats.org/officeDocument/2006/relationships/hyperlink" Target="https://havenprotocol.medium.com/haven-protocol-technical-overview-of-june-2021-exploits-6f4573fbf216" TargetMode="External"/><Relationship Id="rId37" Type="http://schemas.openxmlformats.org/officeDocument/2006/relationships/hyperlink" Target="https://docs.originprotocol.com/protocol/ousd" TargetMode="External"/><Relationship Id="rId36" Type="http://schemas.openxmlformats.org/officeDocument/2006/relationships/hyperlink" Target="https://www.originprotocol.com/blog/what-weve-changed-since-the-ousd-attack" TargetMode="External"/><Relationship Id="rId35" Type="http://schemas.openxmlformats.org/officeDocument/2006/relationships/hyperlink" Target="https://www.stablr.com/insights/further-update-concerning-the-cybersecurity-incident-affecting-eurr-usdr" TargetMode="External"/><Relationship Id="rId34" Type="http://schemas.openxmlformats.org/officeDocument/2006/relationships/hyperlink" Target="https://stablr.com/insights/notification-update-25-08-2026" TargetMode="External"/><Relationship Id="rId33" Type="http://schemas.openxmlformats.org/officeDocument/2006/relationships/hyperlink" Target="https://docs.resolv.xyz/" TargetMode="External"/><Relationship Id="rId32" Type="http://schemas.openxmlformats.org/officeDocument/2006/relationships/hyperlink" Target="https://www.certik.com/blog/resolv-protocol-incident-analysis" TargetMode="External"/><Relationship Id="rId31" Type="http://schemas.openxmlformats.org/officeDocument/2006/relationships/hyperlink" Target="https://www.theblock.co/post/252408/linear-finance-reports-attack-that-drained-linear-usd-liquidity-on-pancakeswap-and-ascendex" TargetMode="External"/><Relationship Id="rId30" Type="http://schemas.openxmlformats.org/officeDocument/2006/relationships/hyperlink" Target="https://antchainopenlabs.github.io/2023/09/25/Linear-Finance-%E6%94%BB%E5%87%BB%E4%BA%8B%E4%BB%B6%E5%88%86%E6%9E%90/" TargetMode="External"/><Relationship Id="rId3" Type="http://schemas.openxmlformats.org/officeDocument/2006/relationships/hyperlink" Target="https://tether.to/en/transparency/" TargetMode="External"/><Relationship Id="rId29" Type="http://schemas.openxmlformats.org/officeDocument/2006/relationships/hyperlink" Target="https://docs.bean.money/developers/overview/introduction" TargetMode="External"/><Relationship Id="rId28" Type="http://schemas.openxmlformats.org/officeDocument/2006/relationships/hyperlink" Target="https://bean.money/blog/beanstalk-governance-exploit" TargetMode="External"/><Relationship Id="rId27" Type="http://schemas.openxmlformats.org/officeDocument/2006/relationships/hyperlink" Target="https://crypto.training/hacks/2022-04-elephant_money/" TargetMode="External"/><Relationship Id="rId26" Type="http://schemas.openxmlformats.org/officeDocument/2006/relationships/hyperlink" Target="https://medium.com/elephant-money/reserve-exploit-52fd36ccc7e8" TargetMode="External"/><Relationship Id="rId25" Type="http://schemas.openxmlformats.org/officeDocument/2006/relationships/hyperlink" Target="https://gov.curve.finance/t/the-curve-emergency-dao-has-killed-the-usdm-gauge/2307" TargetMode="External"/><Relationship Id="rId24" Type="http://schemas.openxmlformats.org/officeDocument/2006/relationships/hyperlink" Target="https://smartcontractshacking.com/hacks/wault-finance-hack-2021" TargetMode="External"/><Relationship Id="rId23" Type="http://schemas.openxmlformats.org/officeDocument/2006/relationships/hyperlink" Target="https://www.certik.com/blog/exploitingasmartcontractwithoutsecurityvulnerabilitiesanalysisoftrueseignioragedollarattackevent" TargetMode="External"/><Relationship Id="rId22" Type="http://schemas.openxmlformats.org/officeDocument/2006/relationships/hyperlink" Target="https://github.com/liqtags/crypto-rekts/blob/main/rekts/PolBase-Cash.md" TargetMode="External"/><Relationship Id="rId21" Type="http://schemas.openxmlformats.org/officeDocument/2006/relationships/hyperlink" Target="https://support.stablecoin.z.com/hc/en-us/articles/57881757618969-Wind-down-of-GYEN-and-ZUSD-stablecoin-issuance" TargetMode="External"/><Relationship Id="rId20" Type="http://schemas.openxmlformats.org/officeDocument/2006/relationships/hyperlink" Target="https://www.theblock.co/news/ecosystems/2025-11-04-stream-finance-halts-withdrawals-93-million-loss-377400" TargetMode="External"/><Relationship Id="rId2" Type="http://schemas.openxmlformats.org/officeDocument/2006/relationships/hyperlink" Target="https://www.cftc.gov/PressRoom/PressReleases/8450-21" TargetMode="External"/><Relationship Id="rId19" Type="http://schemas.openxmlformats.org/officeDocument/2006/relationships/hyperlink" Target="https://www.paxos.com/newsroom/from-paxos-international-paxos-international-introduces-lift-dollar-usdl-the-first-stablecoin-to-offer-holders-daily-yield-in-wallet-under-regulatory-oversight" TargetMode="External"/><Relationship Id="rId18" Type="http://schemas.openxmlformats.org/officeDocument/2006/relationships/hyperlink" Target="https://www.paxos.com/newsroom/winding-down-usdl-lift-dollar" TargetMode="External"/><Relationship Id="rId17" Type="http://schemas.openxmlformats.org/officeDocument/2006/relationships/hyperlink" Target="https://docs.mountainprotocol.com/legacy-docs/usdm-token" TargetMode="External"/><Relationship Id="rId16" Type="http://schemas.openxmlformats.org/officeDocument/2006/relationships/hyperlink" Target="https://docs.mountainprotocol.com/wind-down-documentation/usdm-wind-down-overview" TargetMode="External"/><Relationship Id="rId15" Type="http://schemas.openxmlformats.org/officeDocument/2006/relationships/hyperlink" Target="https://docs.inter.trade/" TargetMode="External"/><Relationship Id="rId146" Type="http://schemas.openxmlformats.org/officeDocument/2006/relationships/hyperlink" Target="https://tether.io/news/tether-supports-freeze-of-more-than-344-million-in-usdt-in-coordination-with-ofac-and-u-s-law-enforcement/" TargetMode="External"/><Relationship Id="rId145" Type="http://schemas.openxmlformats.org/officeDocument/2006/relationships/hyperlink" Target="https://order26cv2327.com/" TargetMode="External"/><Relationship Id="rId144" Type="http://schemas.openxmlformats.org/officeDocument/2006/relationships/hyperlink" Target="https://decrypt.co/314918/ethena-exits-germany-usde-compliance" TargetMode="External"/><Relationship Id="rId143" Type="http://schemas.openxmlformats.org/officeDocument/2006/relationships/hyperlink" Target="https://www.esma.europa.eu/sites/default/files/2025-01/ESMA75-223375936-6099_Statement_on_stablecoins.pdf" TargetMode="External"/><Relationship Id="rId142" Type="http://schemas.openxmlformats.org/officeDocument/2006/relationships/hyperlink" Target="https://www.binance.com/en/support/announcement/detail/bcaa1f68d6a6450099056ff694ad6c46" TargetMode="External"/><Relationship Id="rId141" Type="http://schemas.openxmlformats.org/officeDocument/2006/relationships/hyperlink" Target="https://support.kraken.com/in/articles/stablecoin-offerings-for-eea-clients" TargetMode="External"/><Relationship Id="rId140" Type="http://schemas.openxmlformats.org/officeDocument/2006/relationships/hyperlink" Target="https://tether.io/news/tether-to-wind-down-usdt-support-for-five-legacy-blockchains-as-part-of-strategic-infrastructure-review/" TargetMode="External"/><Relationship Id="rId14" Type="http://schemas.openxmlformats.org/officeDocument/2006/relationships/hyperlink" Target="https://community.agoric.com/t/sunset-inter-protocol-and-begin-wind-down-process/787" TargetMode="External"/><Relationship Id="rId139" Type="http://schemas.openxmlformats.org/officeDocument/2006/relationships/hyperlink" Target="https://www.paxos.com/newsroom/paxos-will-halt-minting-new-busd-tokens" TargetMode="External"/><Relationship Id="rId138" Type="http://schemas.openxmlformats.org/officeDocument/2006/relationships/hyperlink" Target="https://www.info.gov.hk/gia/general/202604/28/P2026042800530.htm" TargetMode="External"/><Relationship Id="rId137" Type="http://schemas.openxmlformats.org/officeDocument/2006/relationships/hyperlink" Target="https://www.justice.gov/usao-ednc/pr/us-attorneys-office-ednc-announces-seizure-61-million-dollars-worth-cryptocurrency" TargetMode="External"/><Relationship Id="rId136" Type="http://schemas.openxmlformats.org/officeDocument/2006/relationships/hyperlink" Target="https://newspaper.jcrb.com/2025/20251202/20251202_006/news-zgjcb-11083-20251202-m-006-300.pdf" TargetMode="External"/><Relationship Id="rId135" Type="http://schemas.openxmlformats.org/officeDocument/2006/relationships/hyperlink" Target="https://www.elliptic.co/insights/iran-has-acquired-us-dollar-stablecoins-worth-at-least-half-a-billion-dollars/" TargetMode="External"/><Relationship Id="rId134" Type="http://schemas.openxmlformats.org/officeDocument/2006/relationships/hyperlink" Target="https://www.chainalysis.com/blog/a7a5-grinex-russian-crypto-economy-ofac-sanctions-august-2025/" TargetMode="External"/><Relationship Id="rId133" Type="http://schemas.openxmlformats.org/officeDocument/2006/relationships/hyperlink" Target="https://home.treasury.gov/news/press-releases/sb0225" TargetMode="External"/><Relationship Id="rId132" Type="http://schemas.openxmlformats.org/officeDocument/2006/relationships/hyperlink" Target="https://www.justice.gov/usao-ma/pr/united-states-seeks-civil-forfeiture-approximately-23-million-cryptocurrency-seized" TargetMode="External"/><Relationship Id="rId131" Type="http://schemas.openxmlformats.org/officeDocument/2006/relationships/hyperlink" Target="https://news.pts.org.tw/article/748598/" TargetMode="External"/><Relationship Id="rId130" Type="http://schemas.openxmlformats.org/officeDocument/2006/relationships/hyperlink" Target="https://www.zjjcy.gov.cn/art/2026/6/16/art_31_206374.html" TargetMode="External"/><Relationship Id="rId13" Type="http://schemas.openxmlformats.org/officeDocument/2006/relationships/hyperlink" Target="https://docs-polygon.tangible.store/real-usd/usdr-whitepaper" TargetMode="External"/><Relationship Id="rId129" Type="http://schemas.openxmlformats.org/officeDocument/2006/relationships/hyperlink" Target="https://home.treasury.gov/news/press-releases/sb0598" TargetMode="External"/><Relationship Id="rId128" Type="http://schemas.openxmlformats.org/officeDocument/2006/relationships/hyperlink" Target="https://home.treasury.gov/news/press-releases/jy2735" TargetMode="External"/><Relationship Id="rId127" Type="http://schemas.openxmlformats.org/officeDocument/2006/relationships/hyperlink" Target="https://www.justice.gov/opa/pr/united-states-files-civil-forfeiture-complaint-against-225m-funds-involved-cryptocurrency" TargetMode="External"/><Relationship Id="rId126" Type="http://schemas.openxmlformats.org/officeDocument/2006/relationships/hyperlink" Target="https://finance.sina.com.cn/money/bank/guangjiao/2025-07-19/doc-infhfmiu4784546.shtml" TargetMode="External"/><Relationship Id="rId125" Type="http://schemas.openxmlformats.org/officeDocument/2006/relationships/hyperlink" Target="https://www.fincen.gov/news/news-releases/fincen-finds-cambodia-based-huione-group-be-primary-money-laundering-concern" TargetMode="External"/><Relationship Id="rId124" Type="http://schemas.openxmlformats.org/officeDocument/2006/relationships/hyperlink" Target="https://tether.io/news/tether-recognized-for-assisting-the-united-states-secret-service-in-23m-freeze-related-to-transfers-on-sanctioned-exchange-garantex/" TargetMode="External"/><Relationship Id="rId123" Type="http://schemas.openxmlformats.org/officeDocument/2006/relationships/hyperlink" Target="https://www.spp.gov.cn/spp/xwfbh/wsfbt/202312/t20231227_638215.shtml" TargetMode="External"/><Relationship Id="rId122" Type="http://schemas.openxmlformats.org/officeDocument/2006/relationships/hyperlink" Target="https://blog.notional.finance/notional-v1-exploit-post-mortem/" TargetMode="External"/><Relationship Id="rId121" Type="http://schemas.openxmlformats.org/officeDocument/2006/relationships/hyperlink" Target="https://nexusmutual.io/blog/onchain-security-roundup-aug-31-sep-6" TargetMode="External"/><Relationship Id="rId120" Type="http://schemas.openxmlformats.org/officeDocument/2006/relationships/hyperlink" Target="https://blockaid.io/blog/11m-rain-ecosystem-exploit-how-onchain-monitoring-gives-stablecoin-card-issuers-fleet-level-coverage" TargetMode="External"/><Relationship Id="rId12" Type="http://schemas.openxmlformats.org/officeDocument/2006/relationships/hyperlink" Target="https://medium.com/tangible/real-usd-depeg-mitigation-and-gameplan-82a49f56f6f9" TargetMode="External"/><Relationship Id="rId119" Type="http://schemas.openxmlformats.org/officeDocument/2006/relationships/hyperlink" Target="https://www.icon.foundation/blog/2026/icon-network-replay-exploit-post-mortem" TargetMode="External"/><Relationship Id="rId118" Type="http://schemas.openxmlformats.org/officeDocument/2006/relationships/hyperlink" Target="https://www.certik.com/blog/defituna-incident-analysis" TargetMode="External"/><Relationship Id="rId117" Type="http://schemas.openxmlformats.org/officeDocument/2006/relationships/hyperlink" Target="https://mainstreet.finance/tos.pdf" TargetMode="External"/><Relationship Id="rId116" Type="http://schemas.openxmlformats.org/officeDocument/2006/relationships/hyperlink" Target="https://www.stableorgone.com/issuer/mainstreet-finance/" TargetMode="External"/><Relationship Id="rId115" Type="http://schemas.openxmlformats.org/officeDocument/2006/relationships/hyperlink" Target="https://monerium.com/eure/" TargetMode="External"/><Relationship Id="rId114" Type="http://schemas.openxmlformats.org/officeDocument/2006/relationships/hyperlink" Target="https://www.gnosis.io/blog/post-mortem-gnosis-pay-vulnerability-exploit" TargetMode="External"/><Relationship Id="rId113" Type="http://schemas.openxmlformats.org/officeDocument/2006/relationships/hyperlink" Target="https://github.com/curvefi/curve-stablecoin" TargetMode="External"/><Relationship Id="rId112" Type="http://schemas.openxmlformats.org/officeDocument/2006/relationships/hyperlink" Target="https://www.llamarisk.com/research/llamalend-sdola-long2-post-mortem" TargetMode="External"/><Relationship Id="rId111" Type="http://schemas.openxmlformats.org/officeDocument/2006/relationships/hyperlink" Target="https://blocksec.com/blog/yieldblox-dao-incident-on-stellar-oracle-misconfiguration-enabled-a-10m-drain" TargetMode="External"/><Relationship Id="rId110" Type="http://schemas.openxmlformats.org/officeDocument/2006/relationships/hyperlink" Target="https://docs.gyro.finance/" TargetMode="External"/><Relationship Id="rId11" Type="http://schemas.openxmlformats.org/officeDocument/2006/relationships/hyperlink" Target="https://www.circle.com/usdc" TargetMode="External"/><Relationship Id="rId109" Type="http://schemas.openxmlformats.org/officeDocument/2006/relationships/hyperlink" Target="https://www.certik.com/ko/blog/gyroscope-incident-analysis" TargetMode="External"/><Relationship Id="rId108" Type="http://schemas.openxmlformats.org/officeDocument/2006/relationships/hyperlink" Target="https://www.theblock.co/news/markets/2025-11-06-elixir-sunsets-deusd-synthetic-stablecoin-following-stream-finance-unwinding-aims-full-redemptions-377961" TargetMode="External"/><Relationship Id="rId107" Type="http://schemas.openxmlformats.org/officeDocument/2006/relationships/hyperlink" Target="https://blog.thorchain.org/introduction-to-the-merge" TargetMode="External"/><Relationship Id="rId106" Type="http://schemas.openxmlformats.org/officeDocument/2006/relationships/hyperlink" Target="https://www.chainalysis.com/blog/nobitex-iranian-exchange-exploit-june-2025/" TargetMode="External"/><Relationship Id="rId105" Type="http://schemas.openxmlformats.org/officeDocument/2006/relationships/hyperlink" Target="https://itokenly.com/hacks/abracadabra-gm-cauldrons" TargetMode="External"/><Relationship Id="rId104" Type="http://schemas.openxmlformats.org/officeDocument/2006/relationships/hyperlink" Target="https://research.blockscope.co/zoth-vault-breach" TargetMode="External"/><Relationship Id="rId103" Type="http://schemas.openxmlformats.org/officeDocument/2006/relationships/hyperlink" Target="https://www.theblock.co/news/ecosystems/2025-02-24-stablecoin-neobank-infini-exploited-for-49-million-security-analysts-342911" TargetMode="External"/><Relationship Id="rId102" Type="http://schemas.openxmlformats.org/officeDocument/2006/relationships/hyperlink" Target="https://docs.ethena.fi/" TargetMode="External"/><Relationship Id="rId101" Type="http://schemas.openxmlformats.org/officeDocument/2006/relationships/hyperlink" Target="https://blocksec.com/blog/monthly-security-review-june-2024-1" TargetMode="External"/><Relationship Id="rId100" Type="http://schemas.openxmlformats.org/officeDocument/2006/relationships/hyperlink" Target="https://crypto.training/hacks/2024-02-seneca/" TargetMode="External"/><Relationship Id="rId10" Type="http://schemas.openxmlformats.org/officeDocument/2006/relationships/hyperlink" Target="https://www.circle.com/pressroom/3-3-billion-of-usdc-reserve-risk-removed-dollar-de-peg-closes" TargetMode="Externa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9" Type="http://schemas.openxmlformats.org/officeDocument/2006/relationships/hyperlink" Target="https://medium.com/elephant-money/minor-exploit-of-the-busd-buy-back-governance-contract-134ba8e902d9" TargetMode="External"/><Relationship Id="rId98" Type="http://schemas.openxmlformats.org/officeDocument/2006/relationships/hyperlink" Target="https://www.certik.com/blog/earnings-misconfigured-yearn-finance-exploit-explained" TargetMode="External"/><Relationship Id="rId97" Type="http://schemas.openxmlformats.org/officeDocument/2006/relationships/hyperlink" Target="https://docs.angle.money/" TargetMode="External"/><Relationship Id="rId96" Type="http://schemas.openxmlformats.org/officeDocument/2006/relationships/hyperlink" Target="https://blog.angle.money/euler-hack-reflection-learning-adapting-and-strengthening-angle-protocol" TargetMode="External"/><Relationship Id="rId95" Type="http://schemas.openxmlformats.org/officeDocument/2006/relationships/hyperlink" Target="https://immunebytes.medium.com/solends-isolated-pools-exploitation-nov-2-2022-detailed-analysis-immunebytes-2c2937e48453" TargetMode="External"/><Relationship Id="rId94" Type="http://schemas.openxmlformats.org/officeDocument/2006/relationships/hyperlink" Target="https://www.coindesk.com/business/2022/06/23/coinflex-pauses-withdrawals-amid-extreme-market-conditions-and-counterparty-uncertainty" TargetMode="External"/><Relationship Id="rId93" Type="http://schemas.openxmlformats.org/officeDocument/2006/relationships/hyperlink" Target="https://ironfinance.medium.com/iron-finance-vfarms-incident-post-mortem-16-march-2021-114e58d1eaac" TargetMode="External"/><Relationship Id="rId92" Type="http://schemas.openxmlformats.org/officeDocument/2006/relationships/hyperlink" Target="https://tether.io/news/tether-critical-announcement/" TargetMode="External"/><Relationship Id="rId91" Type="http://schemas.openxmlformats.org/officeDocument/2006/relationships/hyperlink" Target="https://worldlibertyfinancial.com/usd1" TargetMode="External"/><Relationship Id="rId90" Type="http://schemas.openxmlformats.org/officeDocument/2006/relationships/hyperlink" Target="https://www.reuters.com/sustainability/boards-policy-regulation/trump-backed-crypto-stablecoin-dips-following-attack-quickly-recovers-2026-02-23/" TargetMode="External"/><Relationship Id="rId9" Type="http://schemas.openxmlformats.org/officeDocument/2006/relationships/hyperlink" Target="https://www.coindesk.com/markets/2022/10/24/near-foundation-urges-wind-down-of-usn-stablecoin-sets-aside-40m" TargetMode="External"/><Relationship Id="rId89" Type="http://schemas.openxmlformats.org/officeDocument/2006/relationships/hyperlink" Target="https://www.federalreserve.gov/econres/notes/feds-notes/runs-on-algorithmic-stablecoins-evidence-from-iron-titan-and-steel-20220602.html" TargetMode="External"/><Relationship Id="rId88" Type="http://schemas.openxmlformats.org/officeDocument/2006/relationships/hyperlink" Target="https://docs.synthetix.io/links" TargetMode="External"/><Relationship Id="rId87" Type="http://schemas.openxmlformats.org/officeDocument/2006/relationships/hyperlink" Target="https://blog.synthetix.io/the-repeggening/" TargetMode="External"/><Relationship Id="rId86" Type="http://schemas.openxmlformats.org/officeDocument/2006/relationships/hyperlink" Target="https://medium.com/fei-protocol/what-you-should-know-about-fei-3ccffd4a4bb6" TargetMode="External"/><Relationship Id="rId85" Type="http://schemas.openxmlformats.org/officeDocument/2006/relationships/hyperlink" Target="https://medium.com/emptysetdollar/an-ama-with-equal-parenthesis-a1c29dafc239" TargetMode="External"/><Relationship Id="rId84" Type="http://schemas.openxmlformats.org/officeDocument/2006/relationships/hyperlink" Target="https://pharos.watch/learn/case-studies/stream-elixir-contagion-2025/" TargetMode="External"/><Relationship Id="rId83" Type="http://schemas.openxmlformats.org/officeDocument/2006/relationships/hyperlink" Target="https://www.theblock.co/news/markets/2025-11-06-synthetic-stablecoin-usdx-depegs-pancakeswap-lista-377917" TargetMode="External"/><Relationship Id="rId82" Type="http://schemas.openxmlformats.org/officeDocument/2006/relationships/hyperlink" Target="https://docs.ethena.fi/resources/usde-terms-and-conditions" TargetMode="External"/><Relationship Id="rId81" Type="http://schemas.openxmlformats.org/officeDocument/2006/relationships/hyperlink" Target="https://gov.ethenafoundation.com/t/usde-analysis-during-the-oct-10th-11th-volatility-event/706" TargetMode="External"/><Relationship Id="rId80" Type="http://schemas.openxmlformats.org/officeDocument/2006/relationships/hyperlink" Target="https://www.firstdigitallabs.com/" TargetMode="External"/><Relationship Id="rId8" Type="http://schemas.openxmlformats.org/officeDocument/2006/relationships/hyperlink" Target="https://llamarisk.com/research/archive-llamarisk-a-risk-assessment-on-neutrino-s-usdn-ecosystem-for-vecrv-holders-and-lps" TargetMode="External"/><Relationship Id="rId79" Type="http://schemas.openxmlformats.org/officeDocument/2006/relationships/hyperlink" Target="https://www.theblock.co/news/regulation/2025-04-02-tron-justin-sun-trueusd-fiduciary-insolvent-techteryx-tusd-first-digital-aria-349289" TargetMode="External"/><Relationship Id="rId78" Type="http://schemas.openxmlformats.org/officeDocument/2006/relationships/hyperlink" Target="https://www.richmondfed.org/publications/research/economic_brief/2022/eb_22-24" TargetMode="External"/><Relationship Id="rId77" Type="http://schemas.openxmlformats.org/officeDocument/2006/relationships/hyperlink" Target="https://discuss.nubits.com/t/so-whats-happened-to-the-pegging-since-19th-march/6009/6" TargetMode="External"/><Relationship Id="rId76" Type="http://schemas.openxmlformats.org/officeDocument/2006/relationships/hyperlink" Target="https://moneyonchain.com/doc-stablecoin/" TargetMode="External"/><Relationship Id="rId75" Type="http://schemas.openxmlformats.org/officeDocument/2006/relationships/hyperlink" Target="https://forum.moneyonchain.com/t/panic-button-activation-incident-report/462" TargetMode="External"/><Relationship Id="rId74" Type="http://schemas.openxmlformats.org/officeDocument/2006/relationships/hyperlink" Target="https://research.blockscope.co/resupplyfi-exploit" TargetMode="External"/><Relationship Id="rId73" Type="http://schemas.openxmlformats.org/officeDocument/2006/relationships/hyperlink" Target="https://medium.com/thestandard-io/unity-triumphs-thestandard-io-d8beadc6a2e0" TargetMode="External"/><Relationship Id="rId72" Type="http://schemas.openxmlformats.org/officeDocument/2006/relationships/hyperlink" Target="https://dedaub.com/blog/thestandard-io-exploit/" TargetMode="External"/><Relationship Id="rId71" Type="http://schemas.openxmlformats.org/officeDocument/2006/relationships/hyperlink" Target="https://www.halborn.com/blog/post/explained-the-zunami-protocol-hack-august-2023" TargetMode="External"/><Relationship Id="rId70" Type="http://schemas.openxmlformats.org/officeDocument/2006/relationships/hyperlink" Target="https://crypto.training/hacks/2023-08-zunami/" TargetMode="External"/><Relationship Id="rId7" Type="http://schemas.openxmlformats.org/officeDocument/2006/relationships/hyperlink" Target="https://www.tusd.io/" TargetMode="External"/><Relationship Id="rId69" Type="http://schemas.openxmlformats.org/officeDocument/2006/relationships/hyperlink" Target="https://medium.com/immunefi/hack-analysis-bonqdao-february-2023-ef6aab0086d6" TargetMode="External"/><Relationship Id="rId68" Type="http://schemas.openxmlformats.org/officeDocument/2006/relationships/hyperlink" Target="https://medium.com/@Knownsec_Blockchain_Lab/knownsec-blockchain-lab-the-bdollar-project-is-under-attack-how-can-price-become-a-weapon-504a88bde08c" TargetMode="External"/><Relationship Id="rId67" Type="http://schemas.openxmlformats.org/officeDocument/2006/relationships/hyperlink" Target="https://rekt.news/deus-dao-rekt-2" TargetMode="External"/><Relationship Id="rId66" Type="http://schemas.openxmlformats.org/officeDocument/2006/relationships/hyperlink" Target="https://www.certik.com/blog/2022-year-in-review-lending-protocols" TargetMode="External"/><Relationship Id="rId65" Type="http://schemas.openxmlformats.org/officeDocument/2006/relationships/hyperlink" Target="https://rekt.news/deus-dao-rekt" TargetMode="External"/><Relationship Id="rId64" Type="http://schemas.openxmlformats.org/officeDocument/2006/relationships/hyperlink" Target="https://smartcontractshacking.com/hacks/deus-finance-march-hack-2022" TargetMode="External"/><Relationship Id="rId63" Type="http://schemas.openxmlformats.org/officeDocument/2006/relationships/hyperlink" Target="https://itokenly.com/hacks/abracadabra-money-october-2025" TargetMode="External"/><Relationship Id="rId62" Type="http://schemas.openxmlformats.org/officeDocument/2006/relationships/hyperlink" Target="https://uspd.io/blog/cpimp-attack-postmortem" TargetMode="External"/><Relationship Id="rId61" Type="http://schemas.openxmlformats.org/officeDocument/2006/relationships/hyperlink" Target="https://docs.zoth.io/zoth/tech-center/smart-contracts/zeusd-token" TargetMode="External"/><Relationship Id="rId60" Type="http://schemas.openxmlformats.org/officeDocument/2006/relationships/hyperlink" Target="https://blog.verichains.io/p/anatomy-of-a-hack-how-a-simple-logic" TargetMode="External"/><Relationship Id="rId6" Type="http://schemas.openxmlformats.org/officeDocument/2006/relationships/hyperlink" Target="https://www.sec.gov/newsroom/press-releases/2024-145" TargetMode="External"/><Relationship Id="rId59" Type="http://schemas.openxmlformats.org/officeDocument/2006/relationships/hyperlink" Target="https://docs.anzen.finance/usdz-101/overview" TargetMode="External"/><Relationship Id="rId58" Type="http://schemas.openxmlformats.org/officeDocument/2006/relationships/hyperlink" Target="https://www.quadrigainitiative.com/hackfraudscam/anzenfinancesmartcontractdecimalvulnerability.php" TargetMode="External"/><Relationship Id="rId57" Type="http://schemas.openxmlformats.org/officeDocument/2006/relationships/hyperlink" Target="https://www.llamarisk.com/research/risk-prisma-finance-incident-march-28-2024-post-mortem" TargetMode="External"/><Relationship Id="rId56" Type="http://schemas.openxmlformats.org/officeDocument/2006/relationships/hyperlink" Target="https://itokenly.com/hacks/abracadabra-money-cauldrons" TargetMode="External"/><Relationship Id="rId55" Type="http://schemas.openxmlformats.org/officeDocument/2006/relationships/hyperlink" Target="https://paragraph.com/@raft/raft-security-incident-post-mortem-analysis-and-recovery-plan" TargetMode="External"/><Relationship Id="rId54" Type="http://schemas.openxmlformats.org/officeDocument/2006/relationships/hyperlink" Target="https://www.certik.com/blog/palmswap-incident-analysis" TargetMode="External"/><Relationship Id="rId53" Type="http://schemas.openxmlformats.org/officeDocument/2006/relationships/hyperlink" Target="https://www.certik.com/blog/stablecoin-stumble-the-code-bug-led-to-usd6-5-million-loss-on-deus-finance" TargetMode="External"/><Relationship Id="rId52" Type="http://schemas.openxmlformats.org/officeDocument/2006/relationships/hyperlink" Target="https://docs.kujira.app/dapps-and-infrastructure/usk-stablecoin/basics" TargetMode="External"/><Relationship Id="rId51" Type="http://schemas.openxmlformats.org/officeDocument/2006/relationships/hyperlink" Target="https://smartcontractshacking.com/hacks/kujira-hack-2023" TargetMode="External"/><Relationship Id="rId50" Type="http://schemas.openxmlformats.org/officeDocument/2006/relationships/hyperlink" Target="https://medium.com/immunefi/hack-analysis-platypus-finance-february-2023-d11fce37d861" TargetMode="External"/><Relationship Id="rId5" Type="http://schemas.openxmlformats.org/officeDocument/2006/relationships/hyperlink" Target="https://github.com/bitshares/bsips/blob/master/bsip-0071.md" TargetMode="External"/><Relationship Id="rId49" Type="http://schemas.openxmlformats.org/officeDocument/2006/relationships/hyperlink" Target="https://docs.sperax.io/master/technical-documents/smart-contracts/usds" TargetMode="External"/><Relationship Id="rId48" Type="http://schemas.openxmlformats.org/officeDocument/2006/relationships/hyperlink" Target="https://medium.com/sperax/usds-feb-3-exploit-report-from-engineering-team-9f0fd3cef00c" TargetMode="External"/><Relationship Id="rId47" Type="http://schemas.openxmlformats.org/officeDocument/2006/relationships/hyperlink" Target="https://www.coindesk.com/business/2022/12/26/defrost-finance-says-hacked-funds-have-been-returned" TargetMode="External"/><Relationship Id="rId46" Type="http://schemas.openxmlformats.org/officeDocument/2006/relationships/hyperlink" Target="https://www.halborn.com/blog/post/explained-the-defrost-hack-december-2022" TargetMode="External"/><Relationship Id="rId45" Type="http://schemas.openxmlformats.org/officeDocument/2006/relationships/hyperlink" Target="https://docs.abracadabra.money/learn/tokens/tokenomics" TargetMode="External"/><Relationship Id="rId44" Type="http://schemas.openxmlformats.org/officeDocument/2006/relationships/hyperlink" Target="https://eigenphi.substack.com/p/casting-a-magic-spell-on-abracadabra" TargetMode="External"/><Relationship Id="rId43" Type="http://schemas.openxmlformats.org/officeDocument/2006/relationships/hyperlink" Target="https://medium.com/acalanetwork/acala-incident-report-14-08-2022-392089588642" TargetMode="External"/><Relationship Id="rId42" Type="http://schemas.openxmlformats.org/officeDocument/2006/relationships/hyperlink" Target="https://www.justice.gov/usao-sdny/pr/former-security-engineer-international-technology-company-pleads-guilty-hacking-two" TargetMode="External"/><Relationship Id="rId41" Type="http://schemas.openxmlformats.org/officeDocument/2006/relationships/hyperlink" Target="https://www.certik.com/zh-CN/blog/cashio-app-incident-analysis" TargetMode="External"/><Relationship Id="rId40" Type="http://schemas.openxmlformats.org/officeDocument/2006/relationships/hyperlink" Target="https://safedollar.medium.com/safedollar-post-mortem-analysis-cb2769fe059" TargetMode="External"/><Relationship Id="rId4" Type="http://schemas.openxmlformats.org/officeDocument/2006/relationships/hyperlink" Target="https://ag.ny.gov/press-release/2021/attorney-general-james-ends-virtual-currency-trading-platform-bitfinexs-illegal" TargetMode="External"/><Relationship Id="rId39" Type="http://schemas.openxmlformats.org/officeDocument/2006/relationships/hyperlink" Target="https://havenprotocol.org/2021/07/16/hard-fork-rollback/" TargetMode="External"/><Relationship Id="rId38" Type="http://schemas.openxmlformats.org/officeDocument/2006/relationships/hyperlink" Target="https://havenprotocol.medium.com/haven-protocol-technical-overview-of-june-2021-exploits-6f4573fbf216" TargetMode="External"/><Relationship Id="rId37" Type="http://schemas.openxmlformats.org/officeDocument/2006/relationships/hyperlink" Target="https://docs.originprotocol.com/protocol/ousd" TargetMode="External"/><Relationship Id="rId36" Type="http://schemas.openxmlformats.org/officeDocument/2006/relationships/hyperlink" Target="https://www.originprotocol.com/blog/what-weve-changed-since-the-ousd-attack" TargetMode="External"/><Relationship Id="rId35" Type="http://schemas.openxmlformats.org/officeDocument/2006/relationships/hyperlink" Target="https://www.stablr.com/insights/further-update-concerning-the-cybersecurity-incident-affecting-eurr-usdr" TargetMode="External"/><Relationship Id="rId34" Type="http://schemas.openxmlformats.org/officeDocument/2006/relationships/hyperlink" Target="https://stablr.com/insights/notification-update-25-08-2026" TargetMode="External"/><Relationship Id="rId33" Type="http://schemas.openxmlformats.org/officeDocument/2006/relationships/hyperlink" Target="https://docs.resolv.xyz/" TargetMode="External"/><Relationship Id="rId32" Type="http://schemas.openxmlformats.org/officeDocument/2006/relationships/hyperlink" Target="https://www.certik.com/blog/resolv-protocol-incident-analysis" TargetMode="External"/><Relationship Id="rId31" Type="http://schemas.openxmlformats.org/officeDocument/2006/relationships/hyperlink" Target="https://www.theblock.co/post/252408/linear-finance-reports-attack-that-drained-linear-usd-liquidity-on-pancakeswap-and-ascendex" TargetMode="External"/><Relationship Id="rId30" Type="http://schemas.openxmlformats.org/officeDocument/2006/relationships/hyperlink" Target="https://antchainopenlabs.github.io/2023/09/25/Linear-Finance-%E6%94%BB%E5%87%BB%E4%BA%8B%E4%BB%B6%E5%88%86%E6%9E%90/" TargetMode="External"/><Relationship Id="rId3" Type="http://schemas.openxmlformats.org/officeDocument/2006/relationships/hyperlink" Target="https://tether.to/en/transparency/" TargetMode="External"/><Relationship Id="rId29" Type="http://schemas.openxmlformats.org/officeDocument/2006/relationships/hyperlink" Target="https://docs.bean.money/developers/overview/introduction" TargetMode="External"/><Relationship Id="rId28" Type="http://schemas.openxmlformats.org/officeDocument/2006/relationships/hyperlink" Target="https://bean.money/blog/beanstalk-governance-exploit" TargetMode="External"/><Relationship Id="rId27" Type="http://schemas.openxmlformats.org/officeDocument/2006/relationships/hyperlink" Target="https://crypto.training/hacks/2022-04-elephant_money/" TargetMode="External"/><Relationship Id="rId26" Type="http://schemas.openxmlformats.org/officeDocument/2006/relationships/hyperlink" Target="https://medium.com/elephant-money/reserve-exploit-52fd36ccc7e8" TargetMode="External"/><Relationship Id="rId25" Type="http://schemas.openxmlformats.org/officeDocument/2006/relationships/hyperlink" Target="https://gov.curve.finance/t/the-curve-emergency-dao-has-killed-the-usdm-gauge/2307" TargetMode="External"/><Relationship Id="rId24" Type="http://schemas.openxmlformats.org/officeDocument/2006/relationships/hyperlink" Target="https://smartcontractshacking.com/hacks/wault-finance-hack-2021" TargetMode="External"/><Relationship Id="rId23" Type="http://schemas.openxmlformats.org/officeDocument/2006/relationships/hyperlink" Target="https://www.certik.com/blog/exploitingasmartcontractwithoutsecurityvulnerabilitiesanalysisoftrueseignioragedollarattackevent" TargetMode="External"/><Relationship Id="rId22" Type="http://schemas.openxmlformats.org/officeDocument/2006/relationships/hyperlink" Target="https://github.com/liqtags/crypto-rekts/blob/main/rekts/PolBase-Cash.md" TargetMode="External"/><Relationship Id="rId21" Type="http://schemas.openxmlformats.org/officeDocument/2006/relationships/hyperlink" Target="https://support.stablecoin.z.com/hc/en-us/articles/57881757618969-Wind-down-of-GYEN-and-ZUSD-stablecoin-issuance" TargetMode="External"/><Relationship Id="rId20" Type="http://schemas.openxmlformats.org/officeDocument/2006/relationships/hyperlink" Target="https://www.theblock.co/news/ecosystems/2025-11-04-stream-finance-halts-withdrawals-93-million-loss-377400" TargetMode="External"/><Relationship Id="rId2" Type="http://schemas.openxmlformats.org/officeDocument/2006/relationships/hyperlink" Target="https://www.cftc.gov/PressRoom/PressReleases/8450-21" TargetMode="External"/><Relationship Id="rId19" Type="http://schemas.openxmlformats.org/officeDocument/2006/relationships/hyperlink" Target="https://www.paxos.com/newsroom/from-paxos-international-paxos-international-introduces-lift-dollar-usdl-the-first-stablecoin-to-offer-holders-daily-yield-in-wallet-under-regulatory-oversight" TargetMode="External"/><Relationship Id="rId18" Type="http://schemas.openxmlformats.org/officeDocument/2006/relationships/hyperlink" Target="https://www.paxos.com/newsroom/winding-down-usdl-lift-dollar" TargetMode="External"/><Relationship Id="rId17" Type="http://schemas.openxmlformats.org/officeDocument/2006/relationships/hyperlink" Target="https://docs.mountainprotocol.com/legacy-docs/usdm-token" TargetMode="External"/><Relationship Id="rId16" Type="http://schemas.openxmlformats.org/officeDocument/2006/relationships/hyperlink" Target="https://docs.mountainprotocol.com/wind-down-documentation/usdm-wind-down-overview" TargetMode="External"/><Relationship Id="rId15" Type="http://schemas.openxmlformats.org/officeDocument/2006/relationships/hyperlink" Target="https://docs.inter.trade/" TargetMode="External"/><Relationship Id="rId146" Type="http://schemas.openxmlformats.org/officeDocument/2006/relationships/hyperlink" Target="https://tether.io/news/tether-supports-freeze-of-more-than-344-million-in-usdt-in-coordination-with-ofac-and-u-s-law-enforcement/" TargetMode="External"/><Relationship Id="rId145" Type="http://schemas.openxmlformats.org/officeDocument/2006/relationships/hyperlink" Target="https://order26cv2327.com/" TargetMode="External"/><Relationship Id="rId144" Type="http://schemas.openxmlformats.org/officeDocument/2006/relationships/hyperlink" Target="https://decrypt.co/314918/ethena-exits-germany-usde-compliance" TargetMode="External"/><Relationship Id="rId143" Type="http://schemas.openxmlformats.org/officeDocument/2006/relationships/hyperlink" Target="https://www.esma.europa.eu/sites/default/files/2025-01/ESMA75-223375936-6099_Statement_on_stablecoins.pdf" TargetMode="External"/><Relationship Id="rId142" Type="http://schemas.openxmlformats.org/officeDocument/2006/relationships/hyperlink" Target="https://www.binance.com/en/support/announcement/detail/bcaa1f68d6a6450099056ff694ad6c46" TargetMode="External"/><Relationship Id="rId141" Type="http://schemas.openxmlformats.org/officeDocument/2006/relationships/hyperlink" Target="https://support.kraken.com/in/articles/stablecoin-offerings-for-eea-clients" TargetMode="External"/><Relationship Id="rId140" Type="http://schemas.openxmlformats.org/officeDocument/2006/relationships/hyperlink" Target="https://tether.io/news/tether-to-wind-down-usdt-support-for-five-legacy-blockchains-as-part-of-strategic-infrastructure-review/" TargetMode="External"/><Relationship Id="rId14" Type="http://schemas.openxmlformats.org/officeDocument/2006/relationships/hyperlink" Target="https://community.agoric.com/t/sunset-inter-protocol-and-begin-wind-down-process/787" TargetMode="External"/><Relationship Id="rId139" Type="http://schemas.openxmlformats.org/officeDocument/2006/relationships/hyperlink" Target="https://www.paxos.com/newsroom/paxos-will-halt-minting-new-busd-tokens" TargetMode="External"/><Relationship Id="rId138" Type="http://schemas.openxmlformats.org/officeDocument/2006/relationships/hyperlink" Target="https://www.info.gov.hk/gia/general/202604/28/P2026042800530.htm" TargetMode="External"/><Relationship Id="rId137" Type="http://schemas.openxmlformats.org/officeDocument/2006/relationships/hyperlink" Target="https://www.justice.gov/usao-ednc/pr/us-attorneys-office-ednc-announces-seizure-61-million-dollars-worth-cryptocurrency" TargetMode="External"/><Relationship Id="rId136" Type="http://schemas.openxmlformats.org/officeDocument/2006/relationships/hyperlink" Target="https://newspaper.jcrb.com/2025/20251202/20251202_006/news-zgjcb-11083-20251202-m-006-300.pdf" TargetMode="External"/><Relationship Id="rId135" Type="http://schemas.openxmlformats.org/officeDocument/2006/relationships/hyperlink" Target="https://www.elliptic.co/insights/iran-has-acquired-us-dollar-stablecoins-worth-at-least-half-a-billion-dollars/" TargetMode="External"/><Relationship Id="rId134" Type="http://schemas.openxmlformats.org/officeDocument/2006/relationships/hyperlink" Target="https://www.chainalysis.com/blog/a7a5-grinex-russian-crypto-economy-ofac-sanctions-august-2025/" TargetMode="External"/><Relationship Id="rId133" Type="http://schemas.openxmlformats.org/officeDocument/2006/relationships/hyperlink" Target="https://home.treasury.gov/news/press-releases/sb0225" TargetMode="External"/><Relationship Id="rId132" Type="http://schemas.openxmlformats.org/officeDocument/2006/relationships/hyperlink" Target="https://www.justice.gov/usao-ma/pr/united-states-seeks-civil-forfeiture-approximately-23-million-cryptocurrency-seized" TargetMode="External"/><Relationship Id="rId131" Type="http://schemas.openxmlformats.org/officeDocument/2006/relationships/hyperlink" Target="https://news.pts.org.tw/article/748598/" TargetMode="External"/><Relationship Id="rId130" Type="http://schemas.openxmlformats.org/officeDocument/2006/relationships/hyperlink" Target="https://www.zjjcy.gov.cn/art/2026/6/16/art_31_206374.html" TargetMode="External"/><Relationship Id="rId13" Type="http://schemas.openxmlformats.org/officeDocument/2006/relationships/hyperlink" Target="https://docs-polygon.tangible.store/real-usd/usdr-whitepaper" TargetMode="External"/><Relationship Id="rId129" Type="http://schemas.openxmlformats.org/officeDocument/2006/relationships/hyperlink" Target="https://home.treasury.gov/news/press-releases/sb0598" TargetMode="External"/><Relationship Id="rId128" Type="http://schemas.openxmlformats.org/officeDocument/2006/relationships/hyperlink" Target="https://home.treasury.gov/news/press-releases/jy2735" TargetMode="External"/><Relationship Id="rId127" Type="http://schemas.openxmlformats.org/officeDocument/2006/relationships/hyperlink" Target="https://www.justice.gov/opa/pr/united-states-files-civil-forfeiture-complaint-against-225m-funds-involved-cryptocurrency" TargetMode="External"/><Relationship Id="rId126" Type="http://schemas.openxmlformats.org/officeDocument/2006/relationships/hyperlink" Target="https://finance.sina.com.cn/money/bank/guangjiao/2025-07-19/doc-infhfmiu4784546.shtml" TargetMode="External"/><Relationship Id="rId125" Type="http://schemas.openxmlformats.org/officeDocument/2006/relationships/hyperlink" Target="https://www.fincen.gov/news/news-releases/fincen-finds-cambodia-based-huione-group-be-primary-money-laundering-concern" TargetMode="External"/><Relationship Id="rId124" Type="http://schemas.openxmlformats.org/officeDocument/2006/relationships/hyperlink" Target="https://tether.io/news/tether-recognized-for-assisting-the-united-states-secret-service-in-23m-freeze-related-to-transfers-on-sanctioned-exchange-garantex/" TargetMode="External"/><Relationship Id="rId123" Type="http://schemas.openxmlformats.org/officeDocument/2006/relationships/hyperlink" Target="https://www.spp.gov.cn/spp/xwfbh/wsfbt/202312/t20231227_638215.shtml" TargetMode="External"/><Relationship Id="rId122" Type="http://schemas.openxmlformats.org/officeDocument/2006/relationships/hyperlink" Target="https://blog.notional.finance/notional-v1-exploit-post-mortem/" TargetMode="External"/><Relationship Id="rId121" Type="http://schemas.openxmlformats.org/officeDocument/2006/relationships/hyperlink" Target="https://nexusmutual.io/blog/onchain-security-roundup-aug-31-sep-6" TargetMode="External"/><Relationship Id="rId120" Type="http://schemas.openxmlformats.org/officeDocument/2006/relationships/hyperlink" Target="https://blockaid.io/blog/11m-rain-ecosystem-exploit-how-onchain-monitoring-gives-stablecoin-card-issuers-fleet-level-coverage" TargetMode="External"/><Relationship Id="rId12" Type="http://schemas.openxmlformats.org/officeDocument/2006/relationships/hyperlink" Target="https://medium.com/tangible/real-usd-depeg-mitigation-and-gameplan-82a49f56f6f9" TargetMode="External"/><Relationship Id="rId119" Type="http://schemas.openxmlformats.org/officeDocument/2006/relationships/hyperlink" Target="https://www.icon.foundation/blog/2026/icon-network-replay-exploit-post-mortem" TargetMode="External"/><Relationship Id="rId118" Type="http://schemas.openxmlformats.org/officeDocument/2006/relationships/hyperlink" Target="https://www.certik.com/blog/defituna-incident-analysis" TargetMode="External"/><Relationship Id="rId117" Type="http://schemas.openxmlformats.org/officeDocument/2006/relationships/hyperlink" Target="https://mainstreet.finance/tos.pdf" TargetMode="External"/><Relationship Id="rId116" Type="http://schemas.openxmlformats.org/officeDocument/2006/relationships/hyperlink" Target="https://www.stableorgone.com/issuer/mainstreet-finance/" TargetMode="External"/><Relationship Id="rId115" Type="http://schemas.openxmlformats.org/officeDocument/2006/relationships/hyperlink" Target="https://monerium.com/eure/" TargetMode="External"/><Relationship Id="rId114" Type="http://schemas.openxmlformats.org/officeDocument/2006/relationships/hyperlink" Target="https://www.gnosis.io/blog/post-mortem-gnosis-pay-vulnerability-exploit" TargetMode="External"/><Relationship Id="rId113" Type="http://schemas.openxmlformats.org/officeDocument/2006/relationships/hyperlink" Target="https://github.com/curvefi/curve-stablecoin" TargetMode="External"/><Relationship Id="rId112" Type="http://schemas.openxmlformats.org/officeDocument/2006/relationships/hyperlink" Target="https://www.llamarisk.com/research/llamalend-sdola-long2-post-mortem" TargetMode="External"/><Relationship Id="rId111" Type="http://schemas.openxmlformats.org/officeDocument/2006/relationships/hyperlink" Target="https://blocksec.com/blog/yieldblox-dao-incident-on-stellar-oracle-misconfiguration-enabled-a-10m-drain" TargetMode="External"/><Relationship Id="rId110" Type="http://schemas.openxmlformats.org/officeDocument/2006/relationships/hyperlink" Target="https://docs.gyro.finance/" TargetMode="External"/><Relationship Id="rId11" Type="http://schemas.openxmlformats.org/officeDocument/2006/relationships/hyperlink" Target="https://www.circle.com/usdc" TargetMode="External"/><Relationship Id="rId109" Type="http://schemas.openxmlformats.org/officeDocument/2006/relationships/hyperlink" Target="https://www.certik.com/ko/blog/gyroscope-incident-analysis" TargetMode="External"/><Relationship Id="rId108" Type="http://schemas.openxmlformats.org/officeDocument/2006/relationships/hyperlink" Target="https://www.theblock.co/news/markets/2025-11-06-elixir-sunsets-deusd-synthetic-stablecoin-following-stream-finance-unwinding-aims-full-redemptions-377961" TargetMode="External"/><Relationship Id="rId107" Type="http://schemas.openxmlformats.org/officeDocument/2006/relationships/hyperlink" Target="https://blog.thorchain.org/introduction-to-the-merge" TargetMode="External"/><Relationship Id="rId106" Type="http://schemas.openxmlformats.org/officeDocument/2006/relationships/hyperlink" Target="https://www.chainalysis.com/blog/nobitex-iranian-exchange-exploit-june-2025/" TargetMode="External"/><Relationship Id="rId105" Type="http://schemas.openxmlformats.org/officeDocument/2006/relationships/hyperlink" Target="https://itokenly.com/hacks/abracadabra-gm-cauldrons" TargetMode="External"/><Relationship Id="rId104" Type="http://schemas.openxmlformats.org/officeDocument/2006/relationships/hyperlink" Target="https://research.blockscope.co/zoth-vault-breach" TargetMode="External"/><Relationship Id="rId103" Type="http://schemas.openxmlformats.org/officeDocument/2006/relationships/hyperlink" Target="https://www.theblock.co/news/ecosystems/2025-02-24-stablecoin-neobank-infini-exploited-for-49-million-security-analysts-342911" TargetMode="External"/><Relationship Id="rId102" Type="http://schemas.openxmlformats.org/officeDocument/2006/relationships/hyperlink" Target="https://docs.ethena.fi/" TargetMode="External"/><Relationship Id="rId101" Type="http://schemas.openxmlformats.org/officeDocument/2006/relationships/hyperlink" Target="https://blocksec.com/blog/monthly-security-review-june-2024-1" TargetMode="External"/><Relationship Id="rId100" Type="http://schemas.openxmlformats.org/officeDocument/2006/relationships/hyperlink" Target="https://crypto.training/hacks/2024-02-seneca/" TargetMode="External"/><Relationship Id="rId10" Type="http://schemas.openxmlformats.org/officeDocument/2006/relationships/hyperlink" Target="https://www.circle.com/pressroom/3-3-billion-of-usdc-reserve-risk-removed-dollar-de-peg-closes" TargetMode="Externa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C506E"/>
  </sheetPr>
  <dimension ref="A1:E41"/>
  <sheetViews>
    <sheetView showGridLines="0" workbookViewId="0">
      <selection activeCell="E27" sqref="E27"/>
    </sheetView>
  </sheetViews>
  <sheetFormatPr defaultColWidth="9" defaultRowHeight="13.8" outlineLevelCol="4"/>
  <cols>
    <col min="1" max="1" width="35.6333333333333" customWidth="1"/>
    <col min="2" max="2" width="15.6333333333333" customWidth="1"/>
    <col min="3" max="5" width="16.8833333333333" customWidth="1"/>
  </cols>
  <sheetData>
    <row r="1" ht="10" customHeight="1" spans="1:5">
      <c r="A1" s="1"/>
      <c r="B1" s="1"/>
      <c r="C1" s="1"/>
      <c r="D1" s="1"/>
      <c r="E1" s="1"/>
    </row>
    <row r="2" ht="30" customHeight="1" spans="1:5">
      <c r="A2" s="2" t="s">
        <v>0</v>
      </c>
      <c r="B2" s="2" t="s">
        <v>1</v>
      </c>
      <c r="C2" s="2" t="s">
        <v>1</v>
      </c>
      <c r="D2" s="2" t="s">
        <v>1</v>
      </c>
      <c r="E2" s="2" t="s">
        <v>1</v>
      </c>
    </row>
    <row r="3" ht="24" customHeight="1" spans="1:5">
      <c r="A3" s="8" t="s">
        <v>2</v>
      </c>
      <c r="B3" s="8"/>
      <c r="C3" s="8"/>
      <c r="D3" s="8"/>
      <c r="E3" s="8"/>
    </row>
    <row r="4" ht="32" customHeight="1" spans="1:5">
      <c r="A4" s="3" t="s">
        <v>3</v>
      </c>
      <c r="B4" s="3" t="s">
        <v>4</v>
      </c>
      <c r="C4" s="3" t="s">
        <v>5</v>
      </c>
      <c r="D4" s="3" t="s">
        <v>6</v>
      </c>
      <c r="E4" s="3" t="s">
        <v>7</v>
      </c>
    </row>
    <row r="5" ht="24" customHeight="1" spans="1:5">
      <c r="A5" s="1" t="s">
        <v>8</v>
      </c>
      <c r="B5" s="9">
        <f t="shared" ref="B5:B14" si="0">SUM(C5:E5)</f>
        <v>14</v>
      </c>
      <c r="C5" s="9">
        <f>COUNTIFS('108案详情'!$H$5:$H$112,"C_VS",'108案详情'!$K$5:$K$112,"继承风险")</f>
        <v>0</v>
      </c>
      <c r="D5" s="9">
        <f>COUNTIFS('108案详情'!$H$5:$H$112,"C_VS",'108案详情'!$K$5:$K$112,"重塑风险")</f>
        <v>0</v>
      </c>
      <c r="E5" s="9">
        <f>COUNTIFS('108案详情'!$H$5:$H$112,"C_VS",'108案详情'!$K$5:$K$112,"稳定币特有风险")</f>
        <v>14</v>
      </c>
    </row>
    <row r="6" ht="24" customHeight="1" spans="1:5">
      <c r="A6" s="1" t="s">
        <v>9</v>
      </c>
      <c r="B6" s="9">
        <f t="shared" si="0"/>
        <v>9</v>
      </c>
      <c r="C6" s="9">
        <f>COUNTIFS('108案详情'!$H$5:$H$112,"C_PR",'108案详情'!$K$5:$K$112,"继承风险")</f>
        <v>3</v>
      </c>
      <c r="D6" s="9">
        <f>COUNTIFS('108案详情'!$H$5:$H$112,"C_PR",'108案详情'!$K$5:$K$112,"重塑风险")</f>
        <v>6</v>
      </c>
      <c r="E6" s="9">
        <f>COUNTIFS('108案详情'!$H$5:$H$112,"C_PR",'108案详情'!$K$5:$K$112,"稳定币特有风险")</f>
        <v>0</v>
      </c>
    </row>
    <row r="7" ht="24" customHeight="1" spans="1:5">
      <c r="A7" s="1" t="s">
        <v>10</v>
      </c>
      <c r="B7" s="9">
        <f t="shared" si="0"/>
        <v>20</v>
      </c>
      <c r="C7" s="9">
        <f>COUNTIFS('108案详情'!$H$5:$H$112,"C_CI",'108案详情'!$K$5:$K$112,"继承风险")</f>
        <v>5</v>
      </c>
      <c r="D7" s="9">
        <f>COUNTIFS('108案详情'!$H$5:$H$112,"C_CI",'108案详情'!$K$5:$K$112,"重塑风险")</f>
        <v>15</v>
      </c>
      <c r="E7" s="9">
        <f>COUNTIFS('108案详情'!$H$5:$H$112,"C_CI",'108案详情'!$K$5:$K$112,"稳定币特有风险")</f>
        <v>0</v>
      </c>
    </row>
    <row r="8" ht="24" customHeight="1" spans="1:5">
      <c r="A8" s="1" t="s">
        <v>11</v>
      </c>
      <c r="B8" s="9">
        <f t="shared" si="0"/>
        <v>8</v>
      </c>
      <c r="C8" s="9">
        <f>COUNTIFS('108案详情'!$H$5:$H$112,"C_RD",'108案详情'!$K$5:$K$112,"继承风险")</f>
        <v>0</v>
      </c>
      <c r="D8" s="9">
        <f>COUNTIFS('108案详情'!$H$5:$H$112,"C_RD",'108案详情'!$K$5:$K$112,"重塑风险")</f>
        <v>8</v>
      </c>
      <c r="E8" s="9">
        <f>COUNTIFS('108案详情'!$H$5:$H$112,"C_RD",'108案详情'!$K$5:$K$112,"稳定币特有风险")</f>
        <v>0</v>
      </c>
    </row>
    <row r="9" ht="24" customHeight="1" spans="1:5">
      <c r="A9" s="1" t="s">
        <v>12</v>
      </c>
      <c r="B9" s="9">
        <f t="shared" si="0"/>
        <v>5</v>
      </c>
      <c r="C9" s="9">
        <f>COUNTIFS('108案详情'!$H$5:$H$112,"M_LI",'108案详情'!$K$5:$K$112,"继承风险")</f>
        <v>1</v>
      </c>
      <c r="D9" s="9">
        <f>COUNTIFS('108案详情'!$H$5:$H$112,"M_LI",'108案详情'!$K$5:$K$112,"重塑风险")</f>
        <v>3</v>
      </c>
      <c r="E9" s="9">
        <f>COUNTIFS('108案详情'!$H$5:$H$112,"M_LI",'108案详情'!$K$5:$K$112,"稳定币特有风险")</f>
        <v>1</v>
      </c>
    </row>
    <row r="10" ht="24" customHeight="1" spans="1:5">
      <c r="A10" s="1" t="s">
        <v>13</v>
      </c>
      <c r="B10" s="9">
        <f t="shared" si="0"/>
        <v>3</v>
      </c>
      <c r="C10" s="9">
        <f>COUNTIFS('108案详情'!$H$5:$H$112,"M_PR",'108案详情'!$K$5:$K$112,"继承风险")</f>
        <v>0</v>
      </c>
      <c r="D10" s="9">
        <f>COUNTIFS('108案详情'!$H$5:$H$112,"M_PR",'108案详情'!$K$5:$K$112,"重塑风险")</f>
        <v>0</v>
      </c>
      <c r="E10" s="9">
        <f>COUNTIFS('108案详情'!$H$5:$H$112,"M_PR",'108案详情'!$K$5:$K$112,"稳定币特有风险")</f>
        <v>3</v>
      </c>
    </row>
    <row r="11" ht="24" customHeight="1" spans="1:5">
      <c r="A11" s="1" t="s">
        <v>14</v>
      </c>
      <c r="B11" s="9">
        <f t="shared" si="0"/>
        <v>2</v>
      </c>
      <c r="C11" s="9">
        <f>COUNTIFS('108案详情'!$H$5:$H$112,"M_CR",'108案详情'!$K$5:$K$112,"继承风险")</f>
        <v>1</v>
      </c>
      <c r="D11" s="9">
        <f>COUNTIFS('108案详情'!$H$5:$H$112,"M_CR",'108案详情'!$K$5:$K$112,"重塑风险")</f>
        <v>1</v>
      </c>
      <c r="E11" s="9">
        <f>COUNTIFS('108案详情'!$H$5:$H$112,"M_CR",'108案详情'!$K$5:$K$112,"稳定币特有风险")</f>
        <v>0</v>
      </c>
    </row>
    <row r="12" ht="24" customHeight="1" spans="1:5">
      <c r="A12" s="1" t="s">
        <v>15</v>
      </c>
      <c r="B12" s="9">
        <f t="shared" si="0"/>
        <v>25</v>
      </c>
      <c r="C12" s="9">
        <f>COUNTIFS('108案详情'!$H$5:$H$112,"E_IN",'108案详情'!$K$5:$K$112,"继承风险")</f>
        <v>18</v>
      </c>
      <c r="D12" s="9">
        <f>COUNTIFS('108案详情'!$H$5:$H$112,"E_IN",'108案详情'!$K$5:$K$112,"重塑风险")</f>
        <v>7</v>
      </c>
      <c r="E12" s="9">
        <f>COUNTIFS('108案详情'!$H$5:$H$112,"E_IN",'108案详情'!$K$5:$K$112,"稳定币特有风险")</f>
        <v>0</v>
      </c>
    </row>
    <row r="13" ht="24" customHeight="1" spans="1:5">
      <c r="A13" s="1" t="s">
        <v>16</v>
      </c>
      <c r="B13" s="9">
        <f t="shared" si="0"/>
        <v>15</v>
      </c>
      <c r="C13" s="9">
        <f>COUNTIFS('108案详情'!$H$5:$H$112,"E_IU",'108案详情'!$K$5:$K$112,"继承风险")</f>
        <v>3</v>
      </c>
      <c r="D13" s="9">
        <f>COUNTIFS('108案详情'!$H$5:$H$112,"E_IU",'108案详情'!$K$5:$K$112,"重塑风险")</f>
        <v>12</v>
      </c>
      <c r="E13" s="9">
        <f>COUNTIFS('108案详情'!$H$5:$H$112,"E_IU",'108案详情'!$K$5:$K$112,"稳定币特有风险")</f>
        <v>0</v>
      </c>
    </row>
    <row r="14" ht="24" customHeight="1" spans="1:5">
      <c r="A14" s="1" t="s">
        <v>17</v>
      </c>
      <c r="B14" s="9">
        <f t="shared" si="0"/>
        <v>7</v>
      </c>
      <c r="C14" s="9">
        <f>COUNTIFS('108案详情'!$H$5:$H$112,"E_RJ",'108案详情'!$K$5:$K$112,"继承风险")</f>
        <v>0</v>
      </c>
      <c r="D14" s="9">
        <f>COUNTIFS('108案详情'!$H$5:$H$112,"E_RJ",'108案详情'!$K$5:$K$112,"重塑风险")</f>
        <v>1</v>
      </c>
      <c r="E14" s="9">
        <f>COUNTIFS('108案详情'!$H$5:$H$112,"E_RJ",'108案详情'!$K$5:$K$112,"稳定币特有风险")</f>
        <v>6</v>
      </c>
    </row>
    <row r="15" ht="24" customHeight="1" spans="1:5">
      <c r="A15" s="10" t="s">
        <v>18</v>
      </c>
      <c r="B15" s="11">
        <f>SUM(B5:B14)</f>
        <v>108</v>
      </c>
      <c r="C15" s="11">
        <f>SUM(C5:C14)</f>
        <v>31</v>
      </c>
      <c r="D15" s="11">
        <f>SUM(D5:D14)</f>
        <v>53</v>
      </c>
      <c r="E15" s="11">
        <f>SUM(E5:E14)</f>
        <v>24</v>
      </c>
    </row>
    <row r="16" ht="24" customHeight="1" spans="1:5">
      <c r="A16" s="1"/>
      <c r="B16" s="1"/>
      <c r="C16" s="1"/>
      <c r="D16" s="1"/>
      <c r="E16" s="1"/>
    </row>
    <row r="17" ht="24" customHeight="1" spans="1:5">
      <c r="A17" s="1"/>
      <c r="B17" s="1"/>
      <c r="C17" s="1"/>
      <c r="D17" s="1"/>
      <c r="E17" s="1"/>
    </row>
    <row r="18" ht="24" customHeight="1" spans="1:5">
      <c r="A18" s="12" t="s">
        <v>19</v>
      </c>
      <c r="B18" s="1"/>
      <c r="C18" s="1"/>
      <c r="D18" s="1"/>
      <c r="E18" s="1"/>
    </row>
    <row r="19" ht="32" customHeight="1" spans="1:5">
      <c r="A19" s="3" t="s">
        <v>19</v>
      </c>
      <c r="B19" s="3" t="s">
        <v>20</v>
      </c>
      <c r="C19" s="3" t="s">
        <v>21</v>
      </c>
      <c r="D19" s="1"/>
      <c r="E19" s="1"/>
    </row>
    <row r="20" ht="24" customHeight="1" spans="1:5">
      <c r="A20" s="1" t="s">
        <v>22</v>
      </c>
      <c r="B20" s="9">
        <f>COUNTIF('108案详情'!$I$5:$I$112,A20)</f>
        <v>51</v>
      </c>
      <c r="C20" s="13">
        <f>B20/$B$15</f>
        <v>0.472222222222222</v>
      </c>
      <c r="D20" s="1"/>
      <c r="E20" s="1"/>
    </row>
    <row r="21" ht="24" customHeight="1" spans="1:5">
      <c r="A21" s="1" t="s">
        <v>23</v>
      </c>
      <c r="B21" s="9">
        <f>COUNTIF('108案详情'!$I$5:$I$112,A21)</f>
        <v>10</v>
      </c>
      <c r="C21" s="13">
        <f>B21/$B$15</f>
        <v>0.0925925925925926</v>
      </c>
      <c r="D21" s="1"/>
      <c r="E21" s="1"/>
    </row>
    <row r="22" ht="24" customHeight="1" spans="1:5">
      <c r="A22" s="1" t="s">
        <v>24</v>
      </c>
      <c r="B22" s="9">
        <f>COUNTIF('108案详情'!$I$5:$I$112,A22)</f>
        <v>47</v>
      </c>
      <c r="C22" s="13">
        <f>B22/$B$15</f>
        <v>0.435185185185185</v>
      </c>
      <c r="D22" s="1"/>
      <c r="E22" s="1"/>
    </row>
    <row r="23" ht="24" customHeight="1" spans="1:5">
      <c r="A23" s="14" t="s">
        <v>18</v>
      </c>
      <c r="B23" s="15">
        <f>SUM(B20:B22)</f>
        <v>108</v>
      </c>
      <c r="C23" s="16">
        <f>SUM(C20:C22)</f>
        <v>1</v>
      </c>
      <c r="D23" s="1"/>
      <c r="E23" s="1"/>
    </row>
    <row r="24" ht="24" customHeight="1" spans="1:5">
      <c r="A24" s="1"/>
      <c r="B24" s="1"/>
      <c r="C24" s="1"/>
      <c r="D24" s="1"/>
      <c r="E24" s="1"/>
    </row>
    <row r="25" ht="24" customHeight="1" spans="1:5">
      <c r="A25" s="1"/>
      <c r="B25" s="1"/>
      <c r="C25" s="1"/>
      <c r="D25" s="1"/>
      <c r="E25" s="1"/>
    </row>
    <row r="26" ht="24" customHeight="1" spans="1:5">
      <c r="A26" s="12" t="s">
        <v>25</v>
      </c>
      <c r="B26" s="1"/>
      <c r="C26" s="1"/>
      <c r="D26" s="1"/>
      <c r="E26" s="1"/>
    </row>
    <row r="27" ht="32" customHeight="1" spans="1:5">
      <c r="A27" s="3" t="s">
        <v>26</v>
      </c>
      <c r="B27" s="3" t="s">
        <v>20</v>
      </c>
      <c r="C27" s="3" t="s">
        <v>21</v>
      </c>
      <c r="D27" s="1"/>
      <c r="E27" s="1"/>
    </row>
    <row r="28" ht="24" customHeight="1" spans="1:5">
      <c r="A28" s="1" t="s">
        <v>27</v>
      </c>
      <c r="B28" s="9">
        <f>COUNTIF('108案详情'!$N$5:$N$112,"是")</f>
        <v>32</v>
      </c>
      <c r="C28" s="13">
        <f>B28/$B$15</f>
        <v>0.296296296296296</v>
      </c>
      <c r="D28" s="1"/>
      <c r="E28" s="1"/>
    </row>
    <row r="29" ht="24" customHeight="1" spans="1:5">
      <c r="A29" s="1" t="s">
        <v>28</v>
      </c>
      <c r="B29" s="9">
        <f>COUNTIF('108案详情'!$N$5:$N$112,"局部/短时")</f>
        <v>12</v>
      </c>
      <c r="C29" s="13">
        <f>B29/$B$15</f>
        <v>0.111111111111111</v>
      </c>
      <c r="D29" s="1"/>
      <c r="E29" s="1"/>
    </row>
    <row r="30" ht="24" customHeight="1" spans="1:5">
      <c r="A30" s="1" t="s">
        <v>29</v>
      </c>
      <c r="B30" s="9">
        <f>$B$15-COUNTIF('108案详情'!$R$5:$R$112,"C")-COUNTIF('108案详情'!$R$5:$R$112,"M")-COUNTIF('108案详情'!$R$5:$R$112,"E")</f>
        <v>45</v>
      </c>
      <c r="C30" s="13">
        <f>B30/$B$15</f>
        <v>0.416666666666667</v>
      </c>
      <c r="D30" s="1"/>
      <c r="E30" s="1"/>
    </row>
    <row r="31" ht="24" customHeight="1" spans="1:5">
      <c r="A31" s="1"/>
      <c r="B31" s="1"/>
      <c r="C31" s="1"/>
      <c r="D31" s="1"/>
      <c r="E31" s="1"/>
    </row>
    <row r="32" ht="24" customHeight="1" spans="1:5">
      <c r="A32" s="1"/>
      <c r="B32" s="1"/>
      <c r="C32" s="1"/>
      <c r="D32" s="1"/>
      <c r="E32" s="1"/>
    </row>
    <row r="33" ht="24" customHeight="1" spans="1:5">
      <c r="A33" s="12" t="s">
        <v>30</v>
      </c>
      <c r="B33" s="1"/>
      <c r="C33" s="1"/>
      <c r="D33" s="1"/>
      <c r="E33" s="1"/>
    </row>
    <row r="34" ht="26" customHeight="1" spans="1:5">
      <c r="A34" s="17" t="s">
        <v>31</v>
      </c>
      <c r="B34" s="17"/>
      <c r="C34" s="17"/>
      <c r="D34" s="17"/>
      <c r="E34" s="17"/>
    </row>
    <row r="35" ht="26" customHeight="1" spans="1:5">
      <c r="A35" s="17" t="s">
        <v>32</v>
      </c>
      <c r="B35" s="17"/>
      <c r="C35" s="17"/>
      <c r="D35" s="17"/>
      <c r="E35" s="17"/>
    </row>
    <row r="36" ht="26" customHeight="1" spans="1:5">
      <c r="A36" s="17" t="s">
        <v>33</v>
      </c>
      <c r="B36" s="17"/>
      <c r="C36" s="17"/>
      <c r="D36" s="17"/>
      <c r="E36" s="17"/>
    </row>
    <row r="37" ht="26" customHeight="1" spans="1:5">
      <c r="A37" s="17" t="s">
        <v>34</v>
      </c>
      <c r="B37" s="17"/>
      <c r="C37" s="17"/>
      <c r="D37" s="17"/>
      <c r="E37" s="17"/>
    </row>
    <row r="38" ht="26" customHeight="1" spans="1:5">
      <c r="A38" s="17" t="s">
        <v>35</v>
      </c>
      <c r="B38" s="17"/>
      <c r="C38" s="17"/>
      <c r="D38" s="17"/>
      <c r="E38" s="17"/>
    </row>
    <row r="39" ht="26" customHeight="1" spans="1:5">
      <c r="A39" s="17" t="s">
        <v>36</v>
      </c>
      <c r="B39" s="17"/>
      <c r="C39" s="17"/>
      <c r="D39" s="17"/>
      <c r="E39" s="17"/>
    </row>
    <row r="40" ht="24" customHeight="1" spans="1:5">
      <c r="A40" s="1"/>
      <c r="B40" s="1"/>
      <c r="C40" s="1"/>
      <c r="D40" s="1"/>
      <c r="E40" s="1"/>
    </row>
    <row r="41" ht="24" customHeight="1" spans="1:5">
      <c r="A41" s="1"/>
      <c r="B41" s="1"/>
      <c r="C41" s="1"/>
      <c r="D41" s="1"/>
      <c r="E41" s="1"/>
    </row>
  </sheetData>
  <mergeCells count="8">
    <mergeCell ref="A2:E2"/>
    <mergeCell ref="A3:E3"/>
    <mergeCell ref="A34:E34"/>
    <mergeCell ref="A35:E35"/>
    <mergeCell ref="A36:E36"/>
    <mergeCell ref="A37:E37"/>
    <mergeCell ref="A38:E38"/>
    <mergeCell ref="A39:E39"/>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2"/>
  <sheetViews>
    <sheetView showGridLines="0" zoomScale="70" zoomScaleNormal="70" workbookViewId="0">
      <pane xSplit="3" ySplit="4" topLeftCell="I5" activePane="bottomRight" state="frozen"/>
      <selection/>
      <selection pane="topRight"/>
      <selection pane="bottomLeft"/>
      <selection pane="bottomRight" activeCell="L114" sqref="L114"/>
    </sheetView>
  </sheetViews>
  <sheetFormatPr defaultColWidth="9" defaultRowHeight="13.8"/>
  <cols>
    <col min="1" max="1" width="6" customWidth="1"/>
    <col min="2" max="2" width="30" customWidth="1"/>
    <col min="3" max="3" width="37.5" customWidth="1"/>
    <col min="4" max="5" width="30.6333333333333" customWidth="1"/>
    <col min="6" max="6" width="31.8833333333333" customWidth="1"/>
    <col min="7" max="7" width="40" customWidth="1"/>
    <col min="8" max="8" width="10.6333333333333" customWidth="1"/>
    <col min="9" max="9" width="13.75" customWidth="1"/>
    <col min="10" max="10" width="29.3833333333333" customWidth="1"/>
    <col min="11" max="11" width="18.1333333333333" customWidth="1"/>
    <col min="12" max="12" width="43.75" customWidth="1"/>
    <col min="13" max="13" width="52.5" customWidth="1"/>
    <col min="14" max="14" width="12.5" customWidth="1"/>
    <col min="15" max="15" width="46.8833333333333" customWidth="1"/>
    <col min="16" max="17" width="47.5" customWidth="1"/>
    <col min="18" max="18" width="15" customWidth="1"/>
    <col min="19" max="19" width="45.6333333333333" customWidth="1"/>
    <col min="20" max="21" width="13.1333333333333" customWidth="1"/>
  </cols>
  <sheetData>
    <row r="1" ht="10" customHeight="1" spans="1:21">
      <c r="A1" s="1"/>
      <c r="B1" s="1"/>
      <c r="C1" s="1"/>
      <c r="D1" s="1"/>
      <c r="E1" s="1"/>
      <c r="F1" s="1"/>
      <c r="G1" s="1"/>
      <c r="H1" s="1"/>
      <c r="I1" s="1"/>
      <c r="J1" s="1"/>
      <c r="K1" s="1"/>
      <c r="L1" s="1"/>
      <c r="M1" s="1"/>
      <c r="N1" s="1"/>
      <c r="O1" s="1"/>
      <c r="P1" s="1"/>
      <c r="Q1" s="1"/>
      <c r="R1" s="1"/>
      <c r="S1" s="1"/>
      <c r="T1" s="1"/>
      <c r="U1" s="1"/>
    </row>
    <row r="2" ht="30" customHeight="1" spans="1:21">
      <c r="A2" s="2" t="s">
        <v>37</v>
      </c>
      <c r="B2" s="2" t="s">
        <v>38</v>
      </c>
      <c r="C2" s="2" t="s">
        <v>38</v>
      </c>
      <c r="D2" s="2" t="s">
        <v>38</v>
      </c>
      <c r="E2" s="1"/>
      <c r="F2" s="1"/>
      <c r="G2" s="1"/>
      <c r="H2" s="1"/>
      <c r="I2" s="1"/>
      <c r="J2" s="1"/>
      <c r="K2" s="1"/>
      <c r="L2" s="1"/>
      <c r="M2" s="1"/>
      <c r="N2" s="1"/>
      <c r="O2" s="1"/>
      <c r="P2" s="1"/>
      <c r="Q2" s="1"/>
      <c r="R2" s="1"/>
      <c r="S2" s="1"/>
      <c r="T2" s="1"/>
      <c r="U2" s="1"/>
    </row>
    <row r="3" ht="24" customHeight="1" spans="1:21">
      <c r="A3" s="1"/>
      <c r="B3" s="1"/>
      <c r="C3" s="1"/>
      <c r="D3" s="1"/>
      <c r="E3" s="1"/>
      <c r="F3" s="1"/>
      <c r="G3" s="1"/>
      <c r="H3" s="1"/>
      <c r="I3" s="1"/>
      <c r="J3" s="1"/>
      <c r="K3" s="1"/>
      <c r="L3" s="1"/>
      <c r="M3" s="1"/>
      <c r="N3" s="1"/>
      <c r="O3" s="1"/>
      <c r="P3" s="1"/>
      <c r="Q3" s="1"/>
      <c r="R3" s="1"/>
      <c r="S3" s="1"/>
      <c r="T3" s="1"/>
      <c r="U3" s="1"/>
    </row>
    <row r="4" ht="32" customHeight="1" spans="1:21">
      <c r="A4" s="3" t="s">
        <v>39</v>
      </c>
      <c r="B4" s="3" t="s">
        <v>40</v>
      </c>
      <c r="C4" s="3" t="s">
        <v>41</v>
      </c>
      <c r="D4" s="3" t="s">
        <v>42</v>
      </c>
      <c r="E4" s="3" t="s">
        <v>43</v>
      </c>
      <c r="F4" s="3" t="s">
        <v>44</v>
      </c>
      <c r="G4" s="3" t="s">
        <v>45</v>
      </c>
      <c r="H4" s="3" t="s">
        <v>3</v>
      </c>
      <c r="I4" s="3" t="s">
        <v>46</v>
      </c>
      <c r="J4" s="3" t="s">
        <v>47</v>
      </c>
      <c r="K4" s="3" t="s">
        <v>48</v>
      </c>
      <c r="L4" s="3" t="s">
        <v>49</v>
      </c>
      <c r="M4" s="3" t="s">
        <v>50</v>
      </c>
      <c r="N4" s="3" t="s">
        <v>51</v>
      </c>
      <c r="O4" s="3" t="s">
        <v>52</v>
      </c>
      <c r="P4" s="3" t="s">
        <v>53</v>
      </c>
      <c r="Q4" s="3" t="s">
        <v>54</v>
      </c>
      <c r="R4" s="3" t="s">
        <v>55</v>
      </c>
      <c r="S4" s="3" t="s">
        <v>56</v>
      </c>
      <c r="T4" s="3" t="s">
        <v>57</v>
      </c>
      <c r="U4" s="3" t="s">
        <v>58</v>
      </c>
    </row>
    <row r="5" ht="70" customHeight="1" spans="1:21">
      <c r="A5" s="4">
        <v>1</v>
      </c>
      <c r="B5" s="5" t="s">
        <v>59</v>
      </c>
      <c r="C5" s="5" t="s">
        <v>60</v>
      </c>
      <c r="D5" s="5" t="s">
        <v>61</v>
      </c>
      <c r="E5" s="5" t="s">
        <v>62</v>
      </c>
      <c r="F5" s="5" t="s">
        <v>63</v>
      </c>
      <c r="G5" s="5" t="s">
        <v>64</v>
      </c>
      <c r="H5" s="5" t="s">
        <v>65</v>
      </c>
      <c r="I5" s="5" t="s">
        <v>22</v>
      </c>
      <c r="J5" s="5" t="s">
        <v>66</v>
      </c>
      <c r="K5" s="5" t="s">
        <v>67</v>
      </c>
      <c r="L5" s="5" t="s">
        <v>68</v>
      </c>
      <c r="M5" s="5" t="s">
        <v>69</v>
      </c>
      <c r="N5" s="5" t="s">
        <v>70</v>
      </c>
      <c r="O5" s="5" t="s">
        <v>71</v>
      </c>
      <c r="P5" s="5" t="s">
        <v>72</v>
      </c>
      <c r="Q5" s="5" t="s">
        <v>73</v>
      </c>
      <c r="R5" s="5" t="s">
        <v>74</v>
      </c>
      <c r="S5" s="5" t="s">
        <v>75</v>
      </c>
      <c r="T5" s="7" t="s">
        <v>57</v>
      </c>
      <c r="U5" s="7" t="s">
        <v>58</v>
      </c>
    </row>
    <row r="6" ht="70" customHeight="1" spans="1:21">
      <c r="A6" s="4">
        <v>2</v>
      </c>
      <c r="B6" s="5" t="s">
        <v>76</v>
      </c>
      <c r="C6" s="5" t="s">
        <v>77</v>
      </c>
      <c r="D6" s="5" t="s">
        <v>61</v>
      </c>
      <c r="E6" s="5" t="s">
        <v>78</v>
      </c>
      <c r="F6" s="5" t="s">
        <v>63</v>
      </c>
      <c r="G6" s="5" t="s">
        <v>79</v>
      </c>
      <c r="H6" s="5" t="s">
        <v>65</v>
      </c>
      <c r="I6" s="5" t="s">
        <v>22</v>
      </c>
      <c r="J6" s="5" t="s">
        <v>66</v>
      </c>
      <c r="K6" s="5" t="s">
        <v>67</v>
      </c>
      <c r="L6" s="5" t="s">
        <v>80</v>
      </c>
      <c r="M6" s="5" t="s">
        <v>81</v>
      </c>
      <c r="N6" s="5" t="s">
        <v>70</v>
      </c>
      <c r="O6" s="5" t="s">
        <v>82</v>
      </c>
      <c r="P6" s="5" t="s">
        <v>83</v>
      </c>
      <c r="Q6" s="5" t="s">
        <v>84</v>
      </c>
      <c r="R6" s="5" t="s">
        <v>74</v>
      </c>
      <c r="S6" s="5" t="s">
        <v>75</v>
      </c>
      <c r="T6" s="7" t="s">
        <v>57</v>
      </c>
      <c r="U6" s="7" t="s">
        <v>58</v>
      </c>
    </row>
    <row r="7" ht="70" customHeight="1" spans="1:21">
      <c r="A7" s="4">
        <v>3</v>
      </c>
      <c r="B7" s="5" t="s">
        <v>85</v>
      </c>
      <c r="C7" s="5" t="s">
        <v>86</v>
      </c>
      <c r="D7" s="5" t="s">
        <v>87</v>
      </c>
      <c r="E7" s="5" t="s">
        <v>88</v>
      </c>
      <c r="F7" s="5" t="s">
        <v>89</v>
      </c>
      <c r="G7" s="5" t="s">
        <v>90</v>
      </c>
      <c r="H7" s="5" t="s">
        <v>65</v>
      </c>
      <c r="I7" s="5" t="s">
        <v>22</v>
      </c>
      <c r="J7" s="5" t="s">
        <v>66</v>
      </c>
      <c r="K7" s="5" t="s">
        <v>67</v>
      </c>
      <c r="L7" s="5" t="s">
        <v>91</v>
      </c>
      <c r="M7" s="5" t="s">
        <v>92</v>
      </c>
      <c r="N7" s="5" t="s">
        <v>93</v>
      </c>
      <c r="O7" s="5" t="s">
        <v>94</v>
      </c>
      <c r="P7" s="5" t="s">
        <v>95</v>
      </c>
      <c r="Q7" s="5" t="s">
        <v>96</v>
      </c>
      <c r="R7" s="5" t="s">
        <v>97</v>
      </c>
      <c r="S7" s="5" t="s">
        <v>75</v>
      </c>
      <c r="T7" s="7" t="s">
        <v>57</v>
      </c>
      <c r="U7" s="7" t="s">
        <v>58</v>
      </c>
    </row>
    <row r="8" ht="70" customHeight="1" spans="1:21">
      <c r="A8" s="4">
        <v>4</v>
      </c>
      <c r="B8" s="5" t="s">
        <v>98</v>
      </c>
      <c r="C8" s="5" t="s">
        <v>99</v>
      </c>
      <c r="D8" s="5" t="s">
        <v>100</v>
      </c>
      <c r="E8" s="5" t="s">
        <v>101</v>
      </c>
      <c r="F8" s="5" t="s">
        <v>102</v>
      </c>
      <c r="G8" s="5" t="s">
        <v>103</v>
      </c>
      <c r="H8" s="5" t="s">
        <v>65</v>
      </c>
      <c r="I8" s="5" t="s">
        <v>22</v>
      </c>
      <c r="J8" s="5" t="s">
        <v>66</v>
      </c>
      <c r="K8" s="5" t="s">
        <v>67</v>
      </c>
      <c r="L8" s="5" t="s">
        <v>104</v>
      </c>
      <c r="M8" s="5" t="s">
        <v>105</v>
      </c>
      <c r="N8" s="5" t="s">
        <v>70</v>
      </c>
      <c r="O8" s="5" t="s">
        <v>106</v>
      </c>
      <c r="P8" s="5" t="s">
        <v>107</v>
      </c>
      <c r="Q8" s="5" t="s">
        <v>108</v>
      </c>
      <c r="R8" s="5" t="s">
        <v>74</v>
      </c>
      <c r="S8" s="5" t="s">
        <v>75</v>
      </c>
      <c r="T8" s="7" t="s">
        <v>57</v>
      </c>
      <c r="U8" s="7" t="s">
        <v>58</v>
      </c>
    </row>
    <row r="9" ht="70" customHeight="1" spans="1:21">
      <c r="A9" s="4">
        <v>5</v>
      </c>
      <c r="B9" s="5" t="s">
        <v>109</v>
      </c>
      <c r="C9" s="5" t="s">
        <v>110</v>
      </c>
      <c r="D9" s="5" t="s">
        <v>111</v>
      </c>
      <c r="E9" s="5" t="s">
        <v>112</v>
      </c>
      <c r="F9" s="5" t="s">
        <v>113</v>
      </c>
      <c r="G9" s="5" t="s">
        <v>114</v>
      </c>
      <c r="H9" s="5" t="s">
        <v>65</v>
      </c>
      <c r="I9" s="5" t="s">
        <v>22</v>
      </c>
      <c r="J9" s="5" t="s">
        <v>66</v>
      </c>
      <c r="K9" s="5" t="s">
        <v>67</v>
      </c>
      <c r="L9" s="5" t="s">
        <v>115</v>
      </c>
      <c r="M9" s="5" t="s">
        <v>116</v>
      </c>
      <c r="N9" s="5" t="s">
        <v>93</v>
      </c>
      <c r="O9" s="5" t="s">
        <v>117</v>
      </c>
      <c r="P9" s="5" t="s">
        <v>118</v>
      </c>
      <c r="Q9" s="5" t="s">
        <v>119</v>
      </c>
      <c r="R9" s="5" t="s">
        <v>97</v>
      </c>
      <c r="S9" s="5" t="s">
        <v>75</v>
      </c>
      <c r="T9" s="7" t="s">
        <v>57</v>
      </c>
      <c r="U9" s="7" t="s">
        <v>58</v>
      </c>
    </row>
    <row r="10" ht="70" customHeight="1" spans="1:21">
      <c r="A10" s="4">
        <v>6</v>
      </c>
      <c r="B10" s="5" t="s">
        <v>120</v>
      </c>
      <c r="C10" s="5" t="s">
        <v>121</v>
      </c>
      <c r="D10" s="5" t="s">
        <v>122</v>
      </c>
      <c r="E10" s="5" t="s">
        <v>123</v>
      </c>
      <c r="F10" s="5" t="s">
        <v>124</v>
      </c>
      <c r="G10" s="5" t="s">
        <v>125</v>
      </c>
      <c r="H10" s="5" t="s">
        <v>65</v>
      </c>
      <c r="I10" s="5" t="s">
        <v>22</v>
      </c>
      <c r="J10" s="5" t="s">
        <v>66</v>
      </c>
      <c r="K10" s="5" t="s">
        <v>67</v>
      </c>
      <c r="L10" s="5" t="s">
        <v>126</v>
      </c>
      <c r="M10" s="5" t="s">
        <v>127</v>
      </c>
      <c r="N10" s="5" t="s">
        <v>70</v>
      </c>
      <c r="O10" s="5" t="s">
        <v>128</v>
      </c>
      <c r="P10" s="5" t="s">
        <v>129</v>
      </c>
      <c r="Q10" s="5" t="s">
        <v>130</v>
      </c>
      <c r="R10" s="5" t="s">
        <v>131</v>
      </c>
      <c r="S10" s="5" t="s">
        <v>75</v>
      </c>
      <c r="T10" s="7" t="s">
        <v>57</v>
      </c>
      <c r="U10" s="7" t="s">
        <v>58</v>
      </c>
    </row>
    <row r="11" ht="70" customHeight="1" spans="1:21">
      <c r="A11" s="4">
        <v>7</v>
      </c>
      <c r="B11" s="5" t="s">
        <v>132</v>
      </c>
      <c r="C11" s="5" t="s">
        <v>133</v>
      </c>
      <c r="D11" s="5" t="s">
        <v>134</v>
      </c>
      <c r="E11" s="5" t="s">
        <v>135</v>
      </c>
      <c r="F11" s="5" t="s">
        <v>113</v>
      </c>
      <c r="G11" s="5" t="s">
        <v>136</v>
      </c>
      <c r="H11" s="5" t="s">
        <v>65</v>
      </c>
      <c r="I11" s="5" t="s">
        <v>22</v>
      </c>
      <c r="J11" s="5" t="s">
        <v>66</v>
      </c>
      <c r="K11" s="5" t="s">
        <v>67</v>
      </c>
      <c r="L11" s="5" t="s">
        <v>137</v>
      </c>
      <c r="M11" s="5" t="s">
        <v>138</v>
      </c>
      <c r="N11" s="5" t="s">
        <v>93</v>
      </c>
      <c r="O11" s="5" t="s">
        <v>139</v>
      </c>
      <c r="P11" s="5" t="s">
        <v>140</v>
      </c>
      <c r="Q11" s="5" t="s">
        <v>141</v>
      </c>
      <c r="R11" s="5" t="s">
        <v>97</v>
      </c>
      <c r="S11" s="5" t="s">
        <v>75</v>
      </c>
      <c r="T11" s="7" t="s">
        <v>57</v>
      </c>
      <c r="U11" s="7" t="s">
        <v>58</v>
      </c>
    </row>
    <row r="12" ht="70" customHeight="1" spans="1:21">
      <c r="A12" s="4">
        <v>8</v>
      </c>
      <c r="B12" s="5" t="s">
        <v>142</v>
      </c>
      <c r="C12" s="5" t="s">
        <v>143</v>
      </c>
      <c r="D12" s="5" t="s">
        <v>144</v>
      </c>
      <c r="E12" s="5" t="s">
        <v>145</v>
      </c>
      <c r="F12" s="5" t="s">
        <v>146</v>
      </c>
      <c r="G12" s="5" t="s">
        <v>147</v>
      </c>
      <c r="H12" s="5" t="s">
        <v>65</v>
      </c>
      <c r="I12" s="5" t="s">
        <v>22</v>
      </c>
      <c r="J12" s="5" t="s">
        <v>66</v>
      </c>
      <c r="K12" s="5" t="s">
        <v>67</v>
      </c>
      <c r="L12" s="5" t="s">
        <v>148</v>
      </c>
      <c r="M12" s="5" t="s">
        <v>149</v>
      </c>
      <c r="N12" s="5" t="s">
        <v>93</v>
      </c>
      <c r="O12" s="5" t="s">
        <v>150</v>
      </c>
      <c r="P12" s="5" t="s">
        <v>151</v>
      </c>
      <c r="Q12" s="5" t="s">
        <v>152</v>
      </c>
      <c r="R12" s="5" t="s">
        <v>97</v>
      </c>
      <c r="S12" s="5" t="s">
        <v>75</v>
      </c>
      <c r="T12" s="7" t="s">
        <v>57</v>
      </c>
      <c r="U12" s="7" t="s">
        <v>58</v>
      </c>
    </row>
    <row r="13" ht="70" customHeight="1" spans="1:21">
      <c r="A13" s="4">
        <v>9</v>
      </c>
      <c r="B13" s="5" t="s">
        <v>153</v>
      </c>
      <c r="C13" s="5" t="s">
        <v>154</v>
      </c>
      <c r="D13" s="5" t="s">
        <v>155</v>
      </c>
      <c r="E13" s="5" t="s">
        <v>156</v>
      </c>
      <c r="F13" s="5" t="s">
        <v>157</v>
      </c>
      <c r="G13" s="5" t="s">
        <v>158</v>
      </c>
      <c r="H13" s="5" t="s">
        <v>65</v>
      </c>
      <c r="I13" s="5" t="s">
        <v>22</v>
      </c>
      <c r="J13" s="5" t="s">
        <v>66</v>
      </c>
      <c r="K13" s="5" t="s">
        <v>67</v>
      </c>
      <c r="L13" s="5" t="s">
        <v>159</v>
      </c>
      <c r="M13" s="5" t="s">
        <v>160</v>
      </c>
      <c r="N13" s="5" t="s">
        <v>93</v>
      </c>
      <c r="O13" s="5" t="s">
        <v>161</v>
      </c>
      <c r="P13" s="5" t="s">
        <v>162</v>
      </c>
      <c r="Q13" s="5" t="s">
        <v>163</v>
      </c>
      <c r="R13" s="5" t="s">
        <v>97</v>
      </c>
      <c r="S13" s="5" t="s">
        <v>75</v>
      </c>
      <c r="T13" s="7" t="s">
        <v>57</v>
      </c>
      <c r="U13" s="7" t="s">
        <v>58</v>
      </c>
    </row>
    <row r="14" ht="70" customHeight="1" spans="1:21">
      <c r="A14" s="4">
        <v>10</v>
      </c>
      <c r="B14" s="5" t="s">
        <v>164</v>
      </c>
      <c r="C14" s="5" t="s">
        <v>165</v>
      </c>
      <c r="D14" s="5" t="s">
        <v>166</v>
      </c>
      <c r="E14" s="5" t="s">
        <v>167</v>
      </c>
      <c r="F14" s="5" t="s">
        <v>168</v>
      </c>
      <c r="G14" s="5" t="s">
        <v>169</v>
      </c>
      <c r="H14" s="5" t="s">
        <v>65</v>
      </c>
      <c r="I14" s="5" t="s">
        <v>22</v>
      </c>
      <c r="J14" s="5" t="s">
        <v>66</v>
      </c>
      <c r="K14" s="5" t="s">
        <v>67</v>
      </c>
      <c r="L14" s="5" t="s">
        <v>170</v>
      </c>
      <c r="M14" s="5" t="s">
        <v>171</v>
      </c>
      <c r="N14" s="5" t="s">
        <v>70</v>
      </c>
      <c r="O14" s="5" t="s">
        <v>172</v>
      </c>
      <c r="P14" s="5" t="s">
        <v>173</v>
      </c>
      <c r="Q14" s="5" t="s">
        <v>174</v>
      </c>
      <c r="R14" s="5" t="s">
        <v>131</v>
      </c>
      <c r="S14" s="5" t="s">
        <v>175</v>
      </c>
      <c r="T14" s="7" t="s">
        <v>57</v>
      </c>
      <c r="U14" s="7" t="s">
        <v>58</v>
      </c>
    </row>
    <row r="15" ht="70" customHeight="1" spans="1:21">
      <c r="A15" s="4">
        <v>11</v>
      </c>
      <c r="B15" s="5" t="s">
        <v>176</v>
      </c>
      <c r="C15" s="5" t="s">
        <v>177</v>
      </c>
      <c r="D15" s="5" t="s">
        <v>178</v>
      </c>
      <c r="E15" s="5" t="s">
        <v>179</v>
      </c>
      <c r="F15" s="5" t="s">
        <v>180</v>
      </c>
      <c r="G15" s="5" t="s">
        <v>181</v>
      </c>
      <c r="H15" s="5" t="s">
        <v>65</v>
      </c>
      <c r="I15" s="5" t="s">
        <v>22</v>
      </c>
      <c r="J15" s="5" t="s">
        <v>66</v>
      </c>
      <c r="K15" s="5" t="s">
        <v>67</v>
      </c>
      <c r="L15" s="5" t="s">
        <v>182</v>
      </c>
      <c r="M15" s="5" t="s">
        <v>183</v>
      </c>
      <c r="N15" s="5" t="s">
        <v>70</v>
      </c>
      <c r="O15" s="5" t="s">
        <v>184</v>
      </c>
      <c r="P15" s="5" t="s">
        <v>185</v>
      </c>
      <c r="Q15" s="5" t="s">
        <v>186</v>
      </c>
      <c r="R15" s="5" t="s">
        <v>131</v>
      </c>
      <c r="S15" s="5" t="s">
        <v>75</v>
      </c>
      <c r="T15" s="7" t="s">
        <v>57</v>
      </c>
      <c r="U15" s="7" t="s">
        <v>58</v>
      </c>
    </row>
    <row r="16" ht="70" customHeight="1" spans="1:21">
      <c r="A16" s="4">
        <v>12</v>
      </c>
      <c r="B16" s="5" t="s">
        <v>187</v>
      </c>
      <c r="C16" s="5" t="s">
        <v>188</v>
      </c>
      <c r="D16" s="5" t="s">
        <v>189</v>
      </c>
      <c r="E16" s="5" t="s">
        <v>190</v>
      </c>
      <c r="F16" s="5" t="s">
        <v>191</v>
      </c>
      <c r="G16" s="5" t="s">
        <v>192</v>
      </c>
      <c r="H16" s="5" t="s">
        <v>65</v>
      </c>
      <c r="I16" s="5" t="s">
        <v>22</v>
      </c>
      <c r="J16" s="5" t="s">
        <v>66</v>
      </c>
      <c r="K16" s="5" t="s">
        <v>67</v>
      </c>
      <c r="L16" s="5" t="s">
        <v>193</v>
      </c>
      <c r="M16" s="5" t="s">
        <v>194</v>
      </c>
      <c r="N16" s="5" t="s">
        <v>70</v>
      </c>
      <c r="O16" s="5" t="s">
        <v>195</v>
      </c>
      <c r="P16" s="5" t="s">
        <v>196</v>
      </c>
      <c r="Q16" s="5" t="s">
        <v>197</v>
      </c>
      <c r="R16" s="5" t="s">
        <v>131</v>
      </c>
      <c r="S16" s="5" t="s">
        <v>75</v>
      </c>
      <c r="T16" s="7" t="s">
        <v>57</v>
      </c>
      <c r="U16" s="7" t="s">
        <v>58</v>
      </c>
    </row>
    <row r="17" ht="70" customHeight="1" spans="1:21">
      <c r="A17" s="4">
        <v>13</v>
      </c>
      <c r="B17" s="5" t="s">
        <v>198</v>
      </c>
      <c r="C17" s="5" t="s">
        <v>199</v>
      </c>
      <c r="D17" s="5" t="s">
        <v>200</v>
      </c>
      <c r="E17" s="5" t="s">
        <v>201</v>
      </c>
      <c r="F17" s="5" t="s">
        <v>202</v>
      </c>
      <c r="G17" s="5" t="s">
        <v>203</v>
      </c>
      <c r="H17" s="5" t="s">
        <v>65</v>
      </c>
      <c r="I17" s="5" t="s">
        <v>22</v>
      </c>
      <c r="J17" s="5" t="s">
        <v>66</v>
      </c>
      <c r="K17" s="5" t="s">
        <v>67</v>
      </c>
      <c r="L17" s="5" t="s">
        <v>204</v>
      </c>
      <c r="M17" s="5" t="s">
        <v>205</v>
      </c>
      <c r="N17" s="5" t="s">
        <v>93</v>
      </c>
      <c r="O17" s="5" t="s">
        <v>206</v>
      </c>
      <c r="P17" s="5" t="s">
        <v>207</v>
      </c>
      <c r="Q17" s="5" t="s">
        <v>208</v>
      </c>
      <c r="R17" s="5" t="s">
        <v>209</v>
      </c>
      <c r="S17" s="5" t="s">
        <v>210</v>
      </c>
      <c r="T17" s="7" t="s">
        <v>57</v>
      </c>
      <c r="U17" s="7" t="s">
        <v>58</v>
      </c>
    </row>
    <row r="18" ht="70" customHeight="1" spans="1:21">
      <c r="A18" s="4">
        <v>14</v>
      </c>
      <c r="B18" s="5" t="s">
        <v>211</v>
      </c>
      <c r="C18" s="5" t="s">
        <v>212</v>
      </c>
      <c r="D18" s="5" t="s">
        <v>213</v>
      </c>
      <c r="E18" s="5" t="s">
        <v>214</v>
      </c>
      <c r="F18" s="5" t="s">
        <v>215</v>
      </c>
      <c r="G18" s="5" t="s">
        <v>216</v>
      </c>
      <c r="H18" s="5" t="s">
        <v>65</v>
      </c>
      <c r="I18" s="5" t="s">
        <v>22</v>
      </c>
      <c r="J18" s="5" t="s">
        <v>66</v>
      </c>
      <c r="K18" s="5" t="s">
        <v>67</v>
      </c>
      <c r="L18" s="5" t="s">
        <v>217</v>
      </c>
      <c r="M18" s="5" t="s">
        <v>218</v>
      </c>
      <c r="N18" s="5" t="s">
        <v>70</v>
      </c>
      <c r="O18" s="5" t="s">
        <v>219</v>
      </c>
      <c r="P18" s="5" t="s">
        <v>220</v>
      </c>
      <c r="Q18" s="5" t="s">
        <v>221</v>
      </c>
      <c r="R18" s="5" t="s">
        <v>131</v>
      </c>
      <c r="S18" s="5" t="s">
        <v>75</v>
      </c>
      <c r="T18" s="7" t="s">
        <v>57</v>
      </c>
      <c r="U18" s="7" t="s">
        <v>58</v>
      </c>
    </row>
    <row r="19" ht="70" customHeight="1" spans="1:21">
      <c r="A19" s="4">
        <v>15</v>
      </c>
      <c r="B19" s="5" t="s">
        <v>222</v>
      </c>
      <c r="C19" s="5" t="s">
        <v>223</v>
      </c>
      <c r="D19" s="5" t="s">
        <v>224</v>
      </c>
      <c r="E19" s="5" t="s">
        <v>225</v>
      </c>
      <c r="F19" s="5" t="s">
        <v>226</v>
      </c>
      <c r="G19" s="5" t="s">
        <v>227</v>
      </c>
      <c r="H19" s="5" t="s">
        <v>228</v>
      </c>
      <c r="I19" s="5" t="s">
        <v>22</v>
      </c>
      <c r="J19" s="5" t="s">
        <v>229</v>
      </c>
      <c r="K19" s="5" t="s">
        <v>230</v>
      </c>
      <c r="L19" s="5" t="s">
        <v>231</v>
      </c>
      <c r="M19" s="5" t="s">
        <v>232</v>
      </c>
      <c r="N19" s="5" t="s">
        <v>70</v>
      </c>
      <c r="O19" s="5" t="s">
        <v>233</v>
      </c>
      <c r="P19" s="5" t="s">
        <v>234</v>
      </c>
      <c r="Q19" s="5" t="s">
        <v>235</v>
      </c>
      <c r="R19" s="5" t="s">
        <v>97</v>
      </c>
      <c r="S19" s="5" t="s">
        <v>236</v>
      </c>
      <c r="T19" s="7" t="s">
        <v>57</v>
      </c>
      <c r="U19" s="7" t="s">
        <v>58</v>
      </c>
    </row>
    <row r="20" ht="70" customHeight="1" spans="1:21">
      <c r="A20" s="4">
        <v>16</v>
      </c>
      <c r="B20" s="5" t="s">
        <v>237</v>
      </c>
      <c r="C20" s="5" t="s">
        <v>238</v>
      </c>
      <c r="D20" s="5" t="s">
        <v>239</v>
      </c>
      <c r="E20" s="5" t="s">
        <v>240</v>
      </c>
      <c r="F20" s="5" t="s">
        <v>241</v>
      </c>
      <c r="G20" s="5" t="s">
        <v>242</v>
      </c>
      <c r="H20" s="5" t="s">
        <v>228</v>
      </c>
      <c r="I20" s="5" t="s">
        <v>22</v>
      </c>
      <c r="J20" s="5" t="s">
        <v>229</v>
      </c>
      <c r="K20" s="5" t="s">
        <v>230</v>
      </c>
      <c r="L20" s="5" t="s">
        <v>243</v>
      </c>
      <c r="M20" s="5" t="s">
        <v>244</v>
      </c>
      <c r="N20" s="5" t="s">
        <v>93</v>
      </c>
      <c r="O20" s="5" t="s">
        <v>245</v>
      </c>
      <c r="P20" s="5" t="s">
        <v>246</v>
      </c>
      <c r="Q20" s="5" t="s">
        <v>247</v>
      </c>
      <c r="R20" s="5" t="s">
        <v>97</v>
      </c>
      <c r="S20" s="5" t="s">
        <v>248</v>
      </c>
      <c r="T20" s="7" t="s">
        <v>57</v>
      </c>
      <c r="U20" s="7" t="s">
        <v>58</v>
      </c>
    </row>
    <row r="21" ht="70" customHeight="1" spans="1:21">
      <c r="A21" s="4">
        <v>17</v>
      </c>
      <c r="B21" s="5" t="s">
        <v>249</v>
      </c>
      <c r="C21" s="5" t="s">
        <v>250</v>
      </c>
      <c r="D21" s="5" t="s">
        <v>251</v>
      </c>
      <c r="E21" s="5" t="s">
        <v>240</v>
      </c>
      <c r="F21" s="5" t="s">
        <v>252</v>
      </c>
      <c r="G21" s="5" t="s">
        <v>253</v>
      </c>
      <c r="H21" s="5" t="s">
        <v>228</v>
      </c>
      <c r="I21" s="5" t="s">
        <v>22</v>
      </c>
      <c r="J21" s="5" t="s">
        <v>229</v>
      </c>
      <c r="K21" s="5" t="s">
        <v>254</v>
      </c>
      <c r="L21" s="5" t="s">
        <v>255</v>
      </c>
      <c r="M21" s="5" t="s">
        <v>256</v>
      </c>
      <c r="N21" s="5" t="s">
        <v>93</v>
      </c>
      <c r="O21" s="5" t="s">
        <v>257</v>
      </c>
      <c r="P21" s="5" t="s">
        <v>258</v>
      </c>
      <c r="Q21" s="5" t="s">
        <v>259</v>
      </c>
      <c r="R21" s="5" t="s">
        <v>97</v>
      </c>
      <c r="S21" s="5" t="s">
        <v>75</v>
      </c>
      <c r="T21" s="7" t="s">
        <v>57</v>
      </c>
      <c r="U21" s="7" t="s">
        <v>58</v>
      </c>
    </row>
    <row r="22" ht="70" customHeight="1" spans="1:21">
      <c r="A22" s="4">
        <v>18</v>
      </c>
      <c r="B22" s="5" t="s">
        <v>260</v>
      </c>
      <c r="C22" s="5" t="s">
        <v>261</v>
      </c>
      <c r="D22" s="5" t="s">
        <v>262</v>
      </c>
      <c r="E22" s="5" t="s">
        <v>225</v>
      </c>
      <c r="F22" s="5" t="s">
        <v>263</v>
      </c>
      <c r="G22" s="5" t="s">
        <v>264</v>
      </c>
      <c r="H22" s="5" t="s">
        <v>228</v>
      </c>
      <c r="I22" s="5" t="s">
        <v>22</v>
      </c>
      <c r="J22" s="5" t="s">
        <v>229</v>
      </c>
      <c r="K22" s="5" t="s">
        <v>254</v>
      </c>
      <c r="L22" s="5" t="s">
        <v>265</v>
      </c>
      <c r="M22" s="5" t="s">
        <v>266</v>
      </c>
      <c r="N22" s="5" t="s">
        <v>93</v>
      </c>
      <c r="O22" s="5" t="s">
        <v>267</v>
      </c>
      <c r="P22" s="5" t="s">
        <v>268</v>
      </c>
      <c r="Q22" s="5" t="s">
        <v>269</v>
      </c>
      <c r="R22" s="5" t="s">
        <v>97</v>
      </c>
      <c r="S22" s="5" t="s">
        <v>270</v>
      </c>
      <c r="T22" s="7" t="s">
        <v>57</v>
      </c>
      <c r="U22" s="7" t="s">
        <v>58</v>
      </c>
    </row>
    <row r="23" ht="70" customHeight="1" spans="1:21">
      <c r="A23" s="4">
        <v>19</v>
      </c>
      <c r="B23" s="5" t="s">
        <v>271</v>
      </c>
      <c r="C23" s="5" t="s">
        <v>272</v>
      </c>
      <c r="D23" s="5" t="s">
        <v>273</v>
      </c>
      <c r="E23" s="5" t="s">
        <v>240</v>
      </c>
      <c r="F23" s="5" t="s">
        <v>274</v>
      </c>
      <c r="G23" s="5" t="s">
        <v>275</v>
      </c>
      <c r="H23" s="5" t="s">
        <v>228</v>
      </c>
      <c r="I23" s="5" t="s">
        <v>22</v>
      </c>
      <c r="J23" s="5" t="s">
        <v>229</v>
      </c>
      <c r="K23" s="5" t="s">
        <v>254</v>
      </c>
      <c r="L23" s="5" t="s">
        <v>276</v>
      </c>
      <c r="M23" s="5" t="s">
        <v>277</v>
      </c>
      <c r="N23" s="5" t="s">
        <v>278</v>
      </c>
      <c r="O23" s="5" t="s">
        <v>279</v>
      </c>
      <c r="P23" s="5" t="s">
        <v>280</v>
      </c>
      <c r="Q23" s="5" t="s">
        <v>281</v>
      </c>
      <c r="R23" s="5" t="s">
        <v>97</v>
      </c>
      <c r="S23" s="5" t="s">
        <v>75</v>
      </c>
      <c r="T23" s="7" t="s">
        <v>57</v>
      </c>
      <c r="U23" s="7" t="s">
        <v>58</v>
      </c>
    </row>
    <row r="24" ht="70" customHeight="1" spans="1:21">
      <c r="A24" s="4">
        <v>20</v>
      </c>
      <c r="B24" s="5" t="s">
        <v>282</v>
      </c>
      <c r="C24" s="5" t="s">
        <v>283</v>
      </c>
      <c r="D24" s="5" t="s">
        <v>284</v>
      </c>
      <c r="E24" s="5" t="s">
        <v>225</v>
      </c>
      <c r="F24" s="5" t="s">
        <v>285</v>
      </c>
      <c r="G24" s="5" t="s">
        <v>286</v>
      </c>
      <c r="H24" s="5" t="s">
        <v>228</v>
      </c>
      <c r="I24" s="5" t="s">
        <v>22</v>
      </c>
      <c r="J24" s="5" t="s">
        <v>229</v>
      </c>
      <c r="K24" s="5" t="s">
        <v>230</v>
      </c>
      <c r="L24" s="5" t="s">
        <v>287</v>
      </c>
      <c r="M24" s="5" t="s">
        <v>288</v>
      </c>
      <c r="N24" s="5" t="s">
        <v>93</v>
      </c>
      <c r="O24" s="5" t="s">
        <v>289</v>
      </c>
      <c r="P24" s="5" t="s">
        <v>290</v>
      </c>
      <c r="Q24" s="5" t="s">
        <v>291</v>
      </c>
      <c r="R24" s="5" t="s">
        <v>97</v>
      </c>
      <c r="S24" s="5" t="s">
        <v>75</v>
      </c>
      <c r="T24" s="7" t="s">
        <v>57</v>
      </c>
      <c r="U24" s="7" t="s">
        <v>58</v>
      </c>
    </row>
    <row r="25" ht="70" customHeight="1" spans="1:21">
      <c r="A25" s="4">
        <v>21</v>
      </c>
      <c r="B25" s="5" t="s">
        <v>292</v>
      </c>
      <c r="C25" s="5" t="s">
        <v>293</v>
      </c>
      <c r="D25" s="5" t="s">
        <v>294</v>
      </c>
      <c r="E25" s="5" t="s">
        <v>240</v>
      </c>
      <c r="F25" s="5" t="s">
        <v>295</v>
      </c>
      <c r="G25" s="5" t="s">
        <v>296</v>
      </c>
      <c r="H25" s="5" t="s">
        <v>228</v>
      </c>
      <c r="I25" s="5" t="s">
        <v>22</v>
      </c>
      <c r="J25" s="5" t="s">
        <v>229</v>
      </c>
      <c r="K25" s="5" t="s">
        <v>254</v>
      </c>
      <c r="L25" s="5" t="s">
        <v>297</v>
      </c>
      <c r="M25" s="5" t="s">
        <v>298</v>
      </c>
      <c r="N25" s="5" t="s">
        <v>93</v>
      </c>
      <c r="O25" s="5" t="s">
        <v>299</v>
      </c>
      <c r="P25" s="5" t="s">
        <v>300</v>
      </c>
      <c r="Q25" s="5" t="s">
        <v>301</v>
      </c>
      <c r="R25" s="5" t="s">
        <v>97</v>
      </c>
      <c r="S25" s="5" t="s">
        <v>75</v>
      </c>
      <c r="T25" s="7" t="s">
        <v>57</v>
      </c>
      <c r="U25" s="7" t="s">
        <v>58</v>
      </c>
    </row>
    <row r="26" ht="70" customHeight="1" spans="1:21">
      <c r="A26" s="4">
        <v>22</v>
      </c>
      <c r="B26" s="5" t="s">
        <v>302</v>
      </c>
      <c r="C26" s="5" t="s">
        <v>303</v>
      </c>
      <c r="D26" s="5" t="s">
        <v>304</v>
      </c>
      <c r="E26" s="5" t="s">
        <v>225</v>
      </c>
      <c r="F26" s="5" t="s">
        <v>305</v>
      </c>
      <c r="G26" s="5" t="s">
        <v>306</v>
      </c>
      <c r="H26" s="5" t="s">
        <v>228</v>
      </c>
      <c r="I26" s="5" t="s">
        <v>22</v>
      </c>
      <c r="J26" s="5" t="s">
        <v>229</v>
      </c>
      <c r="K26" s="5" t="s">
        <v>254</v>
      </c>
      <c r="L26" s="5" t="s">
        <v>307</v>
      </c>
      <c r="M26" s="5" t="s">
        <v>308</v>
      </c>
      <c r="N26" s="5" t="s">
        <v>93</v>
      </c>
      <c r="O26" s="5" t="s">
        <v>309</v>
      </c>
      <c r="P26" s="5" t="s">
        <v>310</v>
      </c>
      <c r="Q26" s="5" t="s">
        <v>311</v>
      </c>
      <c r="R26" s="5" t="s">
        <v>97</v>
      </c>
      <c r="S26" s="5" t="s">
        <v>312</v>
      </c>
      <c r="T26" s="7" t="s">
        <v>57</v>
      </c>
      <c r="U26" s="7" t="s">
        <v>58</v>
      </c>
    </row>
    <row r="27" ht="70" customHeight="1" spans="1:21">
      <c r="A27" s="4">
        <v>23</v>
      </c>
      <c r="B27" s="5" t="s">
        <v>313</v>
      </c>
      <c r="C27" s="5" t="s">
        <v>314</v>
      </c>
      <c r="D27" s="5" t="s">
        <v>315</v>
      </c>
      <c r="E27" s="5" t="s">
        <v>316</v>
      </c>
      <c r="F27" s="5" t="s">
        <v>317</v>
      </c>
      <c r="G27" s="5" t="s">
        <v>318</v>
      </c>
      <c r="H27" s="5" t="s">
        <v>228</v>
      </c>
      <c r="I27" s="5" t="s">
        <v>22</v>
      </c>
      <c r="J27" s="5" t="s">
        <v>229</v>
      </c>
      <c r="K27" s="5" t="s">
        <v>254</v>
      </c>
      <c r="L27" s="5" t="s">
        <v>319</v>
      </c>
      <c r="M27" s="5" t="s">
        <v>320</v>
      </c>
      <c r="N27" s="5" t="s">
        <v>70</v>
      </c>
      <c r="O27" s="5" t="s">
        <v>321</v>
      </c>
      <c r="P27" s="5" t="s">
        <v>322</v>
      </c>
      <c r="Q27" s="5" t="s">
        <v>323</v>
      </c>
      <c r="R27" s="5" t="s">
        <v>131</v>
      </c>
      <c r="S27" s="5" t="s">
        <v>324</v>
      </c>
      <c r="T27" s="7" t="s">
        <v>57</v>
      </c>
      <c r="U27" s="7" t="s">
        <v>58</v>
      </c>
    </row>
    <row r="28" ht="70" customHeight="1" spans="1:21">
      <c r="A28" s="4">
        <v>24</v>
      </c>
      <c r="B28" s="5" t="s">
        <v>325</v>
      </c>
      <c r="C28" s="5" t="s">
        <v>326</v>
      </c>
      <c r="D28" s="5" t="s">
        <v>327</v>
      </c>
      <c r="E28" s="5" t="s">
        <v>225</v>
      </c>
      <c r="F28" s="5" t="s">
        <v>328</v>
      </c>
      <c r="G28" s="5" t="s">
        <v>329</v>
      </c>
      <c r="H28" s="5" t="s">
        <v>330</v>
      </c>
      <c r="I28" s="5" t="s">
        <v>22</v>
      </c>
      <c r="J28" s="5" t="s">
        <v>331</v>
      </c>
      <c r="K28" s="5" t="s">
        <v>254</v>
      </c>
      <c r="L28" s="5" t="s">
        <v>332</v>
      </c>
      <c r="M28" s="5" t="s">
        <v>333</v>
      </c>
      <c r="N28" s="5" t="s">
        <v>93</v>
      </c>
      <c r="O28" s="5" t="s">
        <v>334</v>
      </c>
      <c r="P28" s="5" t="s">
        <v>335</v>
      </c>
      <c r="Q28" s="5" t="s">
        <v>336</v>
      </c>
      <c r="R28" s="5" t="s">
        <v>97</v>
      </c>
      <c r="S28" s="5" t="s">
        <v>75</v>
      </c>
      <c r="T28" s="7" t="s">
        <v>57</v>
      </c>
      <c r="U28" s="7" t="s">
        <v>58</v>
      </c>
    </row>
    <row r="29" ht="70" customHeight="1" spans="1:21">
      <c r="A29" s="4">
        <v>25</v>
      </c>
      <c r="B29" s="5" t="s">
        <v>337</v>
      </c>
      <c r="C29" s="5" t="s">
        <v>338</v>
      </c>
      <c r="D29" s="5" t="s">
        <v>339</v>
      </c>
      <c r="E29" s="5" t="s">
        <v>340</v>
      </c>
      <c r="F29" s="5" t="s">
        <v>341</v>
      </c>
      <c r="G29" s="5" t="s">
        <v>342</v>
      </c>
      <c r="H29" s="5" t="s">
        <v>330</v>
      </c>
      <c r="I29" s="5" t="s">
        <v>22</v>
      </c>
      <c r="J29" s="5" t="s">
        <v>331</v>
      </c>
      <c r="K29" s="5" t="s">
        <v>254</v>
      </c>
      <c r="L29" s="5" t="s">
        <v>343</v>
      </c>
      <c r="M29" s="5" t="s">
        <v>344</v>
      </c>
      <c r="N29" s="5" t="s">
        <v>70</v>
      </c>
      <c r="O29" s="5" t="s">
        <v>345</v>
      </c>
      <c r="P29" s="5" t="s">
        <v>346</v>
      </c>
      <c r="Q29" s="5" t="s">
        <v>347</v>
      </c>
      <c r="R29" s="5" t="s">
        <v>131</v>
      </c>
      <c r="S29" s="5" t="s">
        <v>75</v>
      </c>
      <c r="T29" s="7" t="s">
        <v>57</v>
      </c>
      <c r="U29" s="7" t="s">
        <v>58</v>
      </c>
    </row>
    <row r="30" ht="70" customHeight="1" spans="1:21">
      <c r="A30" s="4">
        <v>26</v>
      </c>
      <c r="B30" s="5" t="s">
        <v>348</v>
      </c>
      <c r="C30" s="5" t="s">
        <v>349</v>
      </c>
      <c r="D30" s="5" t="s">
        <v>350</v>
      </c>
      <c r="E30" s="5" t="s">
        <v>351</v>
      </c>
      <c r="F30" s="5" t="s">
        <v>352</v>
      </c>
      <c r="G30" s="5" t="s">
        <v>353</v>
      </c>
      <c r="H30" s="5" t="s">
        <v>330</v>
      </c>
      <c r="I30" s="5" t="s">
        <v>22</v>
      </c>
      <c r="J30" s="5" t="s">
        <v>331</v>
      </c>
      <c r="K30" s="5" t="s">
        <v>254</v>
      </c>
      <c r="L30" s="5" t="s">
        <v>354</v>
      </c>
      <c r="M30" s="5" t="s">
        <v>355</v>
      </c>
      <c r="N30" s="5" t="s">
        <v>93</v>
      </c>
      <c r="O30" s="5" t="s">
        <v>356</v>
      </c>
      <c r="P30" s="5" t="s">
        <v>357</v>
      </c>
      <c r="Q30" s="5" t="s">
        <v>358</v>
      </c>
      <c r="R30" s="5" t="s">
        <v>97</v>
      </c>
      <c r="S30" s="5" t="s">
        <v>75</v>
      </c>
      <c r="T30" s="7" t="s">
        <v>57</v>
      </c>
      <c r="U30" s="7" t="s">
        <v>58</v>
      </c>
    </row>
    <row r="31" ht="70" customHeight="1" spans="1:21">
      <c r="A31" s="4">
        <v>27</v>
      </c>
      <c r="B31" s="5" t="s">
        <v>359</v>
      </c>
      <c r="C31" s="5" t="s">
        <v>360</v>
      </c>
      <c r="D31" s="5" t="s">
        <v>361</v>
      </c>
      <c r="E31" s="5" t="s">
        <v>362</v>
      </c>
      <c r="F31" s="5" t="s">
        <v>363</v>
      </c>
      <c r="G31" s="5" t="s">
        <v>364</v>
      </c>
      <c r="H31" s="5" t="s">
        <v>330</v>
      </c>
      <c r="I31" s="5" t="s">
        <v>22</v>
      </c>
      <c r="J31" s="5" t="s">
        <v>331</v>
      </c>
      <c r="K31" s="5" t="s">
        <v>254</v>
      </c>
      <c r="L31" s="5" t="s">
        <v>365</v>
      </c>
      <c r="M31" s="5" t="s">
        <v>366</v>
      </c>
      <c r="N31" s="5" t="s">
        <v>93</v>
      </c>
      <c r="O31" s="5" t="s">
        <v>367</v>
      </c>
      <c r="P31" s="5" t="s">
        <v>368</v>
      </c>
      <c r="Q31" s="5" t="s">
        <v>369</v>
      </c>
      <c r="R31" s="5" t="s">
        <v>97</v>
      </c>
      <c r="S31" s="5" t="s">
        <v>75</v>
      </c>
      <c r="T31" s="7" t="s">
        <v>57</v>
      </c>
      <c r="U31" s="7" t="s">
        <v>58</v>
      </c>
    </row>
    <row r="32" ht="70" customHeight="1" spans="1:21">
      <c r="A32" s="4">
        <v>28</v>
      </c>
      <c r="B32" s="5" t="s">
        <v>370</v>
      </c>
      <c r="C32" s="5" t="s">
        <v>371</v>
      </c>
      <c r="D32" s="5" t="s">
        <v>372</v>
      </c>
      <c r="E32" s="5" t="s">
        <v>373</v>
      </c>
      <c r="F32" s="5" t="s">
        <v>374</v>
      </c>
      <c r="G32" s="5" t="s">
        <v>375</v>
      </c>
      <c r="H32" s="5" t="s">
        <v>330</v>
      </c>
      <c r="I32" s="5" t="s">
        <v>22</v>
      </c>
      <c r="J32" s="5" t="s">
        <v>331</v>
      </c>
      <c r="K32" s="5" t="s">
        <v>254</v>
      </c>
      <c r="L32" s="5" t="s">
        <v>376</v>
      </c>
      <c r="M32" s="5" t="s">
        <v>377</v>
      </c>
      <c r="N32" s="5" t="s">
        <v>93</v>
      </c>
      <c r="O32" s="5" t="s">
        <v>378</v>
      </c>
      <c r="P32" s="5" t="s">
        <v>379</v>
      </c>
      <c r="Q32" s="5" t="s">
        <v>380</v>
      </c>
      <c r="R32" s="5" t="s">
        <v>97</v>
      </c>
      <c r="S32" s="5" t="s">
        <v>75</v>
      </c>
      <c r="T32" s="7" t="s">
        <v>57</v>
      </c>
      <c r="U32" s="7" t="s">
        <v>58</v>
      </c>
    </row>
    <row r="33" ht="70" customHeight="1" spans="1:21">
      <c r="A33" s="4">
        <v>29</v>
      </c>
      <c r="B33" s="5" t="s">
        <v>381</v>
      </c>
      <c r="C33" s="5" t="s">
        <v>382</v>
      </c>
      <c r="D33" s="5" t="s">
        <v>383</v>
      </c>
      <c r="E33" s="5" t="s">
        <v>384</v>
      </c>
      <c r="F33" s="5" t="s">
        <v>385</v>
      </c>
      <c r="G33" s="5" t="s">
        <v>386</v>
      </c>
      <c r="H33" s="5" t="s">
        <v>330</v>
      </c>
      <c r="I33" s="5" t="s">
        <v>22</v>
      </c>
      <c r="J33" s="5" t="s">
        <v>331</v>
      </c>
      <c r="K33" s="5" t="s">
        <v>254</v>
      </c>
      <c r="L33" s="5" t="s">
        <v>387</v>
      </c>
      <c r="M33" s="5" t="s">
        <v>388</v>
      </c>
      <c r="N33" s="5" t="s">
        <v>93</v>
      </c>
      <c r="O33" s="5" t="s">
        <v>389</v>
      </c>
      <c r="P33" s="5" t="s">
        <v>390</v>
      </c>
      <c r="Q33" s="5" t="s">
        <v>391</v>
      </c>
      <c r="R33" s="5" t="s">
        <v>97</v>
      </c>
      <c r="S33" s="5" t="s">
        <v>75</v>
      </c>
      <c r="T33" s="7" t="s">
        <v>57</v>
      </c>
      <c r="U33" s="7" t="s">
        <v>58</v>
      </c>
    </row>
    <row r="34" ht="70" customHeight="1" spans="1:21">
      <c r="A34" s="4">
        <v>30</v>
      </c>
      <c r="B34" s="5" t="s">
        <v>392</v>
      </c>
      <c r="C34" s="5" t="s">
        <v>393</v>
      </c>
      <c r="D34" s="5" t="s">
        <v>394</v>
      </c>
      <c r="E34" s="5" t="s">
        <v>225</v>
      </c>
      <c r="F34" s="5" t="s">
        <v>395</v>
      </c>
      <c r="G34" s="5" t="s">
        <v>396</v>
      </c>
      <c r="H34" s="5" t="s">
        <v>330</v>
      </c>
      <c r="I34" s="5" t="s">
        <v>22</v>
      </c>
      <c r="J34" s="5" t="s">
        <v>331</v>
      </c>
      <c r="K34" s="5" t="s">
        <v>254</v>
      </c>
      <c r="L34" s="5" t="s">
        <v>397</v>
      </c>
      <c r="M34" s="5" t="s">
        <v>398</v>
      </c>
      <c r="N34" s="5" t="s">
        <v>278</v>
      </c>
      <c r="O34" s="5" t="s">
        <v>399</v>
      </c>
      <c r="P34" s="5" t="s">
        <v>400</v>
      </c>
      <c r="Q34" s="5" t="s">
        <v>401</v>
      </c>
      <c r="R34" s="5" t="s">
        <v>97</v>
      </c>
      <c r="S34" s="5" t="s">
        <v>75</v>
      </c>
      <c r="T34" s="7" t="s">
        <v>57</v>
      </c>
      <c r="U34" s="7" t="s">
        <v>58</v>
      </c>
    </row>
    <row r="35" ht="70" customHeight="1" spans="1:21">
      <c r="A35" s="4">
        <v>31</v>
      </c>
      <c r="B35" s="5" t="s">
        <v>402</v>
      </c>
      <c r="C35" s="5" t="s">
        <v>403</v>
      </c>
      <c r="D35" s="5" t="s">
        <v>404</v>
      </c>
      <c r="E35" s="5" t="s">
        <v>405</v>
      </c>
      <c r="F35" s="5" t="s">
        <v>406</v>
      </c>
      <c r="G35" s="5" t="s">
        <v>407</v>
      </c>
      <c r="H35" s="5" t="s">
        <v>330</v>
      </c>
      <c r="I35" s="5" t="s">
        <v>22</v>
      </c>
      <c r="J35" s="5" t="s">
        <v>331</v>
      </c>
      <c r="K35" s="5" t="s">
        <v>230</v>
      </c>
      <c r="L35" s="5" t="s">
        <v>408</v>
      </c>
      <c r="M35" s="5" t="s">
        <v>409</v>
      </c>
      <c r="N35" s="5" t="s">
        <v>70</v>
      </c>
      <c r="O35" s="5" t="s">
        <v>410</v>
      </c>
      <c r="P35" s="5" t="s">
        <v>411</v>
      </c>
      <c r="Q35" s="5" t="s">
        <v>412</v>
      </c>
      <c r="R35" s="5" t="s">
        <v>131</v>
      </c>
      <c r="S35" s="5" t="s">
        <v>413</v>
      </c>
      <c r="T35" s="7" t="s">
        <v>57</v>
      </c>
      <c r="U35" s="7" t="s">
        <v>58</v>
      </c>
    </row>
    <row r="36" ht="70" customHeight="1" spans="1:21">
      <c r="A36" s="4">
        <v>32</v>
      </c>
      <c r="B36" s="5" t="s">
        <v>414</v>
      </c>
      <c r="C36" s="5" t="s">
        <v>415</v>
      </c>
      <c r="D36" s="5" t="s">
        <v>416</v>
      </c>
      <c r="E36" s="5" t="s">
        <v>417</v>
      </c>
      <c r="F36" s="5" t="s">
        <v>418</v>
      </c>
      <c r="G36" s="5" t="s">
        <v>419</v>
      </c>
      <c r="H36" s="5" t="s">
        <v>330</v>
      </c>
      <c r="I36" s="5" t="s">
        <v>22</v>
      </c>
      <c r="J36" s="5" t="s">
        <v>331</v>
      </c>
      <c r="K36" s="5" t="s">
        <v>254</v>
      </c>
      <c r="L36" s="5" t="s">
        <v>420</v>
      </c>
      <c r="M36" s="5" t="s">
        <v>421</v>
      </c>
      <c r="N36" s="5" t="s">
        <v>278</v>
      </c>
      <c r="O36" s="5" t="s">
        <v>422</v>
      </c>
      <c r="P36" s="5" t="s">
        <v>423</v>
      </c>
      <c r="Q36" s="5" t="s">
        <v>424</v>
      </c>
      <c r="R36" s="5" t="s">
        <v>97</v>
      </c>
      <c r="S36" s="5" t="s">
        <v>75</v>
      </c>
      <c r="T36" s="7" t="s">
        <v>57</v>
      </c>
      <c r="U36" s="7" t="s">
        <v>58</v>
      </c>
    </row>
    <row r="37" ht="70" customHeight="1" spans="1:21">
      <c r="A37" s="4">
        <v>33</v>
      </c>
      <c r="B37" s="5" t="s">
        <v>425</v>
      </c>
      <c r="C37" s="5" t="s">
        <v>426</v>
      </c>
      <c r="D37" s="5" t="s">
        <v>427</v>
      </c>
      <c r="E37" s="5" t="s">
        <v>405</v>
      </c>
      <c r="F37" s="5" t="s">
        <v>428</v>
      </c>
      <c r="G37" s="5" t="s">
        <v>429</v>
      </c>
      <c r="H37" s="5" t="s">
        <v>330</v>
      </c>
      <c r="I37" s="5" t="s">
        <v>22</v>
      </c>
      <c r="J37" s="5" t="s">
        <v>331</v>
      </c>
      <c r="K37" s="5" t="s">
        <v>254</v>
      </c>
      <c r="L37" s="5" t="s">
        <v>430</v>
      </c>
      <c r="M37" s="5" t="s">
        <v>431</v>
      </c>
      <c r="N37" s="5" t="s">
        <v>93</v>
      </c>
      <c r="O37" s="5" t="s">
        <v>432</v>
      </c>
      <c r="P37" s="5" t="s">
        <v>433</v>
      </c>
      <c r="Q37" s="5" t="s">
        <v>434</v>
      </c>
      <c r="R37" s="5" t="s">
        <v>97</v>
      </c>
      <c r="S37" s="5" t="s">
        <v>75</v>
      </c>
      <c r="T37" s="7" t="s">
        <v>57</v>
      </c>
      <c r="U37" s="7" t="s">
        <v>58</v>
      </c>
    </row>
    <row r="38" ht="70" customHeight="1" spans="1:21">
      <c r="A38" s="4">
        <v>34</v>
      </c>
      <c r="B38" s="5" t="s">
        <v>435</v>
      </c>
      <c r="C38" s="5" t="s">
        <v>436</v>
      </c>
      <c r="D38" s="5" t="s">
        <v>437</v>
      </c>
      <c r="E38" s="5" t="s">
        <v>438</v>
      </c>
      <c r="F38" s="5" t="s">
        <v>439</v>
      </c>
      <c r="G38" s="5" t="s">
        <v>440</v>
      </c>
      <c r="H38" s="5" t="s">
        <v>330</v>
      </c>
      <c r="I38" s="5" t="s">
        <v>22</v>
      </c>
      <c r="J38" s="5" t="s">
        <v>331</v>
      </c>
      <c r="K38" s="5" t="s">
        <v>254</v>
      </c>
      <c r="L38" s="5" t="s">
        <v>441</v>
      </c>
      <c r="M38" s="5" t="s">
        <v>442</v>
      </c>
      <c r="N38" s="5" t="s">
        <v>70</v>
      </c>
      <c r="O38" s="5" t="s">
        <v>443</v>
      </c>
      <c r="P38" s="5" t="s">
        <v>444</v>
      </c>
      <c r="Q38" s="5" t="s">
        <v>445</v>
      </c>
      <c r="R38" s="5" t="s">
        <v>131</v>
      </c>
      <c r="S38" s="5" t="s">
        <v>75</v>
      </c>
      <c r="T38" s="7" t="s">
        <v>57</v>
      </c>
      <c r="U38" s="7" t="s">
        <v>58</v>
      </c>
    </row>
    <row r="39" ht="70" customHeight="1" spans="1:21">
      <c r="A39" s="4">
        <v>35</v>
      </c>
      <c r="B39" s="5" t="s">
        <v>446</v>
      </c>
      <c r="C39" s="5" t="s">
        <v>447</v>
      </c>
      <c r="D39" s="5" t="s">
        <v>448</v>
      </c>
      <c r="E39" s="5" t="s">
        <v>449</v>
      </c>
      <c r="F39" s="5" t="s">
        <v>450</v>
      </c>
      <c r="G39" s="5" t="s">
        <v>451</v>
      </c>
      <c r="H39" s="5" t="s">
        <v>330</v>
      </c>
      <c r="I39" s="5" t="s">
        <v>22</v>
      </c>
      <c r="J39" s="5" t="s">
        <v>331</v>
      </c>
      <c r="K39" s="5" t="s">
        <v>230</v>
      </c>
      <c r="L39" s="5" t="s">
        <v>452</v>
      </c>
      <c r="M39" s="5" t="s">
        <v>453</v>
      </c>
      <c r="N39" s="5" t="s">
        <v>93</v>
      </c>
      <c r="O39" s="5" t="s">
        <v>454</v>
      </c>
      <c r="P39" s="5" t="s">
        <v>455</v>
      </c>
      <c r="Q39" s="5" t="s">
        <v>456</v>
      </c>
      <c r="R39" s="5" t="s">
        <v>97</v>
      </c>
      <c r="S39" s="5" t="s">
        <v>75</v>
      </c>
      <c r="T39" s="7" t="s">
        <v>57</v>
      </c>
      <c r="U39" s="7" t="s">
        <v>58</v>
      </c>
    </row>
    <row r="40" ht="70" customHeight="1" spans="1:21">
      <c r="A40" s="4">
        <v>36</v>
      </c>
      <c r="B40" s="5" t="s">
        <v>457</v>
      </c>
      <c r="C40" s="5" t="s">
        <v>458</v>
      </c>
      <c r="D40" s="5" t="s">
        <v>459</v>
      </c>
      <c r="E40" s="5" t="s">
        <v>240</v>
      </c>
      <c r="F40" s="5" t="s">
        <v>460</v>
      </c>
      <c r="G40" s="5" t="s">
        <v>461</v>
      </c>
      <c r="H40" s="5" t="s">
        <v>330</v>
      </c>
      <c r="I40" s="5" t="s">
        <v>22</v>
      </c>
      <c r="J40" s="5" t="s">
        <v>331</v>
      </c>
      <c r="K40" s="5" t="s">
        <v>254</v>
      </c>
      <c r="L40" s="5" t="s">
        <v>462</v>
      </c>
      <c r="M40" s="5" t="s">
        <v>463</v>
      </c>
      <c r="N40" s="5" t="s">
        <v>70</v>
      </c>
      <c r="O40" s="5" t="s">
        <v>464</v>
      </c>
      <c r="P40" s="5" t="s">
        <v>465</v>
      </c>
      <c r="Q40" s="5" t="s">
        <v>466</v>
      </c>
      <c r="R40" s="5" t="s">
        <v>131</v>
      </c>
      <c r="S40" s="5" t="s">
        <v>75</v>
      </c>
      <c r="T40" s="7" t="s">
        <v>57</v>
      </c>
      <c r="U40" s="7" t="s">
        <v>58</v>
      </c>
    </row>
    <row r="41" ht="70" customHeight="1" spans="1:21">
      <c r="A41" s="4">
        <v>37</v>
      </c>
      <c r="B41" s="5" t="s">
        <v>467</v>
      </c>
      <c r="C41" s="5" t="s">
        <v>468</v>
      </c>
      <c r="D41" s="5" t="s">
        <v>469</v>
      </c>
      <c r="E41" s="5" t="s">
        <v>225</v>
      </c>
      <c r="F41" s="5" t="s">
        <v>470</v>
      </c>
      <c r="G41" s="5" t="s">
        <v>471</v>
      </c>
      <c r="H41" s="5" t="s">
        <v>330</v>
      </c>
      <c r="I41" s="5" t="s">
        <v>22</v>
      </c>
      <c r="J41" s="5" t="s">
        <v>331</v>
      </c>
      <c r="K41" s="5" t="s">
        <v>254</v>
      </c>
      <c r="L41" s="5" t="s">
        <v>472</v>
      </c>
      <c r="M41" s="5" t="s">
        <v>473</v>
      </c>
      <c r="N41" s="5" t="s">
        <v>93</v>
      </c>
      <c r="O41" s="5" t="s">
        <v>474</v>
      </c>
      <c r="P41" s="5" t="s">
        <v>475</v>
      </c>
      <c r="Q41" s="5" t="s">
        <v>476</v>
      </c>
      <c r="R41" s="5" t="s">
        <v>97</v>
      </c>
      <c r="S41" s="5" t="s">
        <v>75</v>
      </c>
      <c r="T41" s="7" t="s">
        <v>57</v>
      </c>
      <c r="U41" s="7" t="s">
        <v>58</v>
      </c>
    </row>
    <row r="42" ht="70" customHeight="1" spans="1:21">
      <c r="A42" s="4">
        <v>38</v>
      </c>
      <c r="B42" s="5" t="s">
        <v>477</v>
      </c>
      <c r="C42" s="5" t="s">
        <v>478</v>
      </c>
      <c r="D42" s="5" t="s">
        <v>394</v>
      </c>
      <c r="E42" s="5" t="s">
        <v>225</v>
      </c>
      <c r="F42" s="5" t="s">
        <v>395</v>
      </c>
      <c r="G42" s="5" t="s">
        <v>479</v>
      </c>
      <c r="H42" s="5" t="s">
        <v>330</v>
      </c>
      <c r="I42" s="5" t="s">
        <v>22</v>
      </c>
      <c r="J42" s="5" t="s">
        <v>331</v>
      </c>
      <c r="K42" s="5" t="s">
        <v>254</v>
      </c>
      <c r="L42" s="5" t="s">
        <v>480</v>
      </c>
      <c r="M42" s="5" t="s">
        <v>481</v>
      </c>
      <c r="N42" s="5" t="s">
        <v>93</v>
      </c>
      <c r="O42" s="5" t="s">
        <v>482</v>
      </c>
      <c r="P42" s="5" t="s">
        <v>483</v>
      </c>
      <c r="Q42" s="5" t="s">
        <v>484</v>
      </c>
      <c r="R42" s="5" t="s">
        <v>97</v>
      </c>
      <c r="S42" s="5" t="s">
        <v>75</v>
      </c>
      <c r="T42" s="7" t="s">
        <v>57</v>
      </c>
      <c r="U42" s="7" t="s">
        <v>58</v>
      </c>
    </row>
    <row r="43" ht="70" customHeight="1" spans="1:21">
      <c r="A43" s="4">
        <v>39</v>
      </c>
      <c r="B43" s="5" t="s">
        <v>485</v>
      </c>
      <c r="C43" s="5" t="s">
        <v>486</v>
      </c>
      <c r="D43" s="5" t="s">
        <v>487</v>
      </c>
      <c r="E43" s="5" t="s">
        <v>225</v>
      </c>
      <c r="F43" s="5" t="s">
        <v>488</v>
      </c>
      <c r="G43" s="5" t="s">
        <v>489</v>
      </c>
      <c r="H43" s="5" t="s">
        <v>330</v>
      </c>
      <c r="I43" s="5" t="s">
        <v>22</v>
      </c>
      <c r="J43" s="5" t="s">
        <v>331</v>
      </c>
      <c r="K43" s="5" t="s">
        <v>230</v>
      </c>
      <c r="L43" s="5" t="s">
        <v>490</v>
      </c>
      <c r="M43" s="5" t="s">
        <v>491</v>
      </c>
      <c r="N43" s="5" t="s">
        <v>70</v>
      </c>
      <c r="O43" s="5" t="s">
        <v>492</v>
      </c>
      <c r="P43" s="5" t="s">
        <v>493</v>
      </c>
      <c r="Q43" s="5" t="s">
        <v>494</v>
      </c>
      <c r="R43" s="5" t="s">
        <v>131</v>
      </c>
      <c r="S43" s="5" t="s">
        <v>75</v>
      </c>
      <c r="T43" s="7" t="s">
        <v>57</v>
      </c>
      <c r="U43" s="7" t="s">
        <v>58</v>
      </c>
    </row>
    <row r="44" ht="70" customHeight="1" spans="1:21">
      <c r="A44" s="4">
        <v>40</v>
      </c>
      <c r="B44" s="5" t="s">
        <v>495</v>
      </c>
      <c r="C44" s="5" t="s">
        <v>496</v>
      </c>
      <c r="D44" s="5" t="s">
        <v>497</v>
      </c>
      <c r="E44" s="5" t="s">
        <v>498</v>
      </c>
      <c r="F44" s="5" t="s">
        <v>499</v>
      </c>
      <c r="G44" s="5" t="s">
        <v>500</v>
      </c>
      <c r="H44" s="5" t="s">
        <v>330</v>
      </c>
      <c r="I44" s="5" t="s">
        <v>22</v>
      </c>
      <c r="J44" s="5" t="s">
        <v>331</v>
      </c>
      <c r="K44" s="5" t="s">
        <v>230</v>
      </c>
      <c r="L44" s="5" t="s">
        <v>501</v>
      </c>
      <c r="M44" s="5" t="s">
        <v>502</v>
      </c>
      <c r="N44" s="5" t="s">
        <v>70</v>
      </c>
      <c r="O44" s="5" t="s">
        <v>503</v>
      </c>
      <c r="P44" s="5" t="s">
        <v>504</v>
      </c>
      <c r="Q44" s="5" t="s">
        <v>505</v>
      </c>
      <c r="R44" s="5" t="s">
        <v>131</v>
      </c>
      <c r="S44" s="5" t="s">
        <v>506</v>
      </c>
      <c r="T44" s="7" t="s">
        <v>57</v>
      </c>
      <c r="U44" s="7" t="s">
        <v>58</v>
      </c>
    </row>
    <row r="45" ht="70" customHeight="1" spans="1:21">
      <c r="A45" s="4">
        <v>41</v>
      </c>
      <c r="B45" s="5" t="s">
        <v>507</v>
      </c>
      <c r="C45" s="5" t="s">
        <v>508</v>
      </c>
      <c r="D45" s="5" t="s">
        <v>509</v>
      </c>
      <c r="E45" s="5" t="s">
        <v>510</v>
      </c>
      <c r="F45" s="5" t="s">
        <v>511</v>
      </c>
      <c r="G45" s="5" t="s">
        <v>512</v>
      </c>
      <c r="H45" s="5" t="s">
        <v>330</v>
      </c>
      <c r="I45" s="5" t="s">
        <v>22</v>
      </c>
      <c r="J45" s="5" t="s">
        <v>331</v>
      </c>
      <c r="K45" s="5" t="s">
        <v>254</v>
      </c>
      <c r="L45" s="5" t="s">
        <v>513</v>
      </c>
      <c r="M45" s="5" t="s">
        <v>514</v>
      </c>
      <c r="N45" s="5" t="s">
        <v>70</v>
      </c>
      <c r="O45" s="5" t="s">
        <v>464</v>
      </c>
      <c r="P45" s="5" t="s">
        <v>515</v>
      </c>
      <c r="Q45" s="5" t="s">
        <v>516</v>
      </c>
      <c r="R45" s="5" t="s">
        <v>131</v>
      </c>
      <c r="S45" s="5" t="s">
        <v>75</v>
      </c>
      <c r="T45" s="7" t="s">
        <v>57</v>
      </c>
      <c r="U45" s="7" t="s">
        <v>58</v>
      </c>
    </row>
    <row r="46" ht="70" customHeight="1" spans="1:21">
      <c r="A46" s="4">
        <v>42</v>
      </c>
      <c r="B46" s="5" t="s">
        <v>517</v>
      </c>
      <c r="C46" s="5" t="s">
        <v>518</v>
      </c>
      <c r="D46" s="5" t="s">
        <v>519</v>
      </c>
      <c r="E46" s="5" t="s">
        <v>520</v>
      </c>
      <c r="F46" s="5" t="s">
        <v>521</v>
      </c>
      <c r="G46" s="5" t="s">
        <v>522</v>
      </c>
      <c r="H46" s="5" t="s">
        <v>330</v>
      </c>
      <c r="I46" s="5" t="s">
        <v>22</v>
      </c>
      <c r="J46" s="5" t="s">
        <v>331</v>
      </c>
      <c r="K46" s="5" t="s">
        <v>230</v>
      </c>
      <c r="L46" s="5" t="s">
        <v>523</v>
      </c>
      <c r="M46" s="5" t="s">
        <v>524</v>
      </c>
      <c r="N46" s="5" t="s">
        <v>70</v>
      </c>
      <c r="O46" s="5" t="s">
        <v>464</v>
      </c>
      <c r="P46" s="5" t="s">
        <v>525</v>
      </c>
      <c r="Q46" s="5" t="s">
        <v>526</v>
      </c>
      <c r="R46" s="5" t="s">
        <v>131</v>
      </c>
      <c r="S46" s="5" t="s">
        <v>527</v>
      </c>
      <c r="T46" s="7" t="s">
        <v>57</v>
      </c>
      <c r="U46" s="7" t="s">
        <v>58</v>
      </c>
    </row>
    <row r="47" ht="70" customHeight="1" spans="1:21">
      <c r="A47" s="4">
        <v>43</v>
      </c>
      <c r="B47" s="5" t="s">
        <v>528</v>
      </c>
      <c r="C47" s="5" t="s">
        <v>529</v>
      </c>
      <c r="D47" s="5" t="s">
        <v>394</v>
      </c>
      <c r="E47" s="5" t="s">
        <v>530</v>
      </c>
      <c r="F47" s="5" t="s">
        <v>395</v>
      </c>
      <c r="G47" s="5" t="s">
        <v>531</v>
      </c>
      <c r="H47" s="5" t="s">
        <v>330</v>
      </c>
      <c r="I47" s="5" t="s">
        <v>22</v>
      </c>
      <c r="J47" s="5" t="s">
        <v>331</v>
      </c>
      <c r="K47" s="5" t="s">
        <v>254</v>
      </c>
      <c r="L47" s="5" t="s">
        <v>532</v>
      </c>
      <c r="M47" s="5" t="s">
        <v>533</v>
      </c>
      <c r="N47" s="5" t="s">
        <v>70</v>
      </c>
      <c r="O47" s="5" t="s">
        <v>464</v>
      </c>
      <c r="P47" s="5" t="s">
        <v>534</v>
      </c>
      <c r="Q47" s="5" t="s">
        <v>535</v>
      </c>
      <c r="R47" s="5" t="s">
        <v>131</v>
      </c>
      <c r="S47" s="5" t="s">
        <v>75</v>
      </c>
      <c r="T47" s="7" t="s">
        <v>57</v>
      </c>
      <c r="U47" s="7" t="s">
        <v>58</v>
      </c>
    </row>
    <row r="48" ht="70" customHeight="1" spans="1:21">
      <c r="A48" s="4">
        <v>44</v>
      </c>
      <c r="B48" s="5" t="s">
        <v>536</v>
      </c>
      <c r="C48" s="5" t="s">
        <v>447</v>
      </c>
      <c r="D48" s="5" t="s">
        <v>448</v>
      </c>
      <c r="E48" s="5" t="s">
        <v>537</v>
      </c>
      <c r="F48" s="5" t="s">
        <v>450</v>
      </c>
      <c r="G48" s="5" t="s">
        <v>538</v>
      </c>
      <c r="H48" s="5" t="s">
        <v>539</v>
      </c>
      <c r="I48" s="5" t="s">
        <v>22</v>
      </c>
      <c r="J48" s="5" t="s">
        <v>540</v>
      </c>
      <c r="K48" s="5" t="s">
        <v>254</v>
      </c>
      <c r="L48" s="5" t="s">
        <v>541</v>
      </c>
      <c r="M48" s="5" t="s">
        <v>542</v>
      </c>
      <c r="N48" s="5" t="s">
        <v>278</v>
      </c>
      <c r="O48" s="5" t="s">
        <v>543</v>
      </c>
      <c r="P48" s="5" t="s">
        <v>544</v>
      </c>
      <c r="Q48" s="5" t="s">
        <v>545</v>
      </c>
      <c r="R48" s="5" t="s">
        <v>97</v>
      </c>
      <c r="S48" s="5" t="s">
        <v>75</v>
      </c>
      <c r="T48" s="7" t="s">
        <v>57</v>
      </c>
      <c r="U48" s="7" t="s">
        <v>58</v>
      </c>
    </row>
    <row r="49" ht="70" customHeight="1" spans="1:21">
      <c r="A49" s="4">
        <v>45</v>
      </c>
      <c r="B49" s="5" t="s">
        <v>546</v>
      </c>
      <c r="C49" s="5" t="s">
        <v>447</v>
      </c>
      <c r="D49" s="5" t="s">
        <v>448</v>
      </c>
      <c r="E49" s="5" t="s">
        <v>537</v>
      </c>
      <c r="F49" s="5" t="s">
        <v>450</v>
      </c>
      <c r="G49" s="5" t="s">
        <v>547</v>
      </c>
      <c r="H49" s="5" t="s">
        <v>539</v>
      </c>
      <c r="I49" s="5" t="s">
        <v>22</v>
      </c>
      <c r="J49" s="5" t="s">
        <v>540</v>
      </c>
      <c r="K49" s="5" t="s">
        <v>254</v>
      </c>
      <c r="L49" s="5" t="s">
        <v>548</v>
      </c>
      <c r="M49" s="5" t="s">
        <v>549</v>
      </c>
      <c r="N49" s="5" t="s">
        <v>278</v>
      </c>
      <c r="O49" s="5" t="s">
        <v>550</v>
      </c>
      <c r="P49" s="5" t="s">
        <v>551</v>
      </c>
      <c r="Q49" s="5" t="s">
        <v>552</v>
      </c>
      <c r="R49" s="5" t="s">
        <v>97</v>
      </c>
      <c r="S49" s="5" t="s">
        <v>75</v>
      </c>
      <c r="T49" s="7" t="s">
        <v>57</v>
      </c>
      <c r="U49" s="7" t="s">
        <v>58</v>
      </c>
    </row>
    <row r="50" ht="70" customHeight="1" spans="1:21">
      <c r="A50" s="4">
        <v>46</v>
      </c>
      <c r="B50" s="5" t="s">
        <v>553</v>
      </c>
      <c r="C50" s="5" t="s">
        <v>554</v>
      </c>
      <c r="D50" s="5" t="s">
        <v>555</v>
      </c>
      <c r="E50" s="5" t="s">
        <v>240</v>
      </c>
      <c r="F50" s="5" t="s">
        <v>556</v>
      </c>
      <c r="G50" s="5" t="s">
        <v>557</v>
      </c>
      <c r="H50" s="5" t="s">
        <v>539</v>
      </c>
      <c r="I50" s="5" t="s">
        <v>22</v>
      </c>
      <c r="J50" s="5" t="s">
        <v>540</v>
      </c>
      <c r="K50" s="5" t="s">
        <v>254</v>
      </c>
      <c r="L50" s="5" t="s">
        <v>558</v>
      </c>
      <c r="M50" s="5" t="s">
        <v>559</v>
      </c>
      <c r="N50" s="5" t="s">
        <v>278</v>
      </c>
      <c r="O50" s="5" t="s">
        <v>560</v>
      </c>
      <c r="P50" s="5" t="s">
        <v>561</v>
      </c>
      <c r="Q50" s="5" t="s">
        <v>562</v>
      </c>
      <c r="R50" s="5" t="s">
        <v>97</v>
      </c>
      <c r="S50" s="5" t="s">
        <v>75</v>
      </c>
      <c r="T50" s="7" t="s">
        <v>57</v>
      </c>
      <c r="U50" s="7" t="s">
        <v>58</v>
      </c>
    </row>
    <row r="51" ht="70" customHeight="1" spans="1:21">
      <c r="A51" s="4">
        <v>47</v>
      </c>
      <c r="B51" s="5" t="s">
        <v>563</v>
      </c>
      <c r="C51" s="5" t="s">
        <v>564</v>
      </c>
      <c r="D51" s="5" t="s">
        <v>565</v>
      </c>
      <c r="E51" s="5" t="s">
        <v>351</v>
      </c>
      <c r="F51" s="5" t="s">
        <v>566</v>
      </c>
      <c r="G51" s="5" t="s">
        <v>567</v>
      </c>
      <c r="H51" s="5" t="s">
        <v>539</v>
      </c>
      <c r="I51" s="5" t="s">
        <v>22</v>
      </c>
      <c r="J51" s="5" t="s">
        <v>540</v>
      </c>
      <c r="K51" s="5" t="s">
        <v>254</v>
      </c>
      <c r="L51" s="5" t="s">
        <v>568</v>
      </c>
      <c r="M51" s="5" t="s">
        <v>569</v>
      </c>
      <c r="N51" s="5" t="s">
        <v>278</v>
      </c>
      <c r="O51" s="5" t="s">
        <v>570</v>
      </c>
      <c r="P51" s="5" t="s">
        <v>571</v>
      </c>
      <c r="Q51" s="5" t="s">
        <v>572</v>
      </c>
      <c r="R51" s="5" t="s">
        <v>97</v>
      </c>
      <c r="S51" s="5" t="s">
        <v>573</v>
      </c>
      <c r="T51" s="7" t="s">
        <v>57</v>
      </c>
      <c r="U51" s="7" t="s">
        <v>58</v>
      </c>
    </row>
    <row r="52" ht="70" customHeight="1" spans="1:21">
      <c r="A52" s="4">
        <v>48</v>
      </c>
      <c r="B52" s="5" t="s">
        <v>574</v>
      </c>
      <c r="C52" s="5" t="s">
        <v>575</v>
      </c>
      <c r="D52" s="5" t="s">
        <v>576</v>
      </c>
      <c r="E52" s="5" t="s">
        <v>225</v>
      </c>
      <c r="F52" s="5" t="s">
        <v>577</v>
      </c>
      <c r="G52" s="5" t="s">
        <v>578</v>
      </c>
      <c r="H52" s="5" t="s">
        <v>539</v>
      </c>
      <c r="I52" s="5" t="s">
        <v>22</v>
      </c>
      <c r="J52" s="5" t="s">
        <v>540</v>
      </c>
      <c r="K52" s="5" t="s">
        <v>254</v>
      </c>
      <c r="L52" s="5" t="s">
        <v>579</v>
      </c>
      <c r="M52" s="5" t="s">
        <v>580</v>
      </c>
      <c r="N52" s="5" t="s">
        <v>93</v>
      </c>
      <c r="O52" s="5" t="s">
        <v>581</v>
      </c>
      <c r="P52" s="5" t="s">
        <v>582</v>
      </c>
      <c r="Q52" s="5" t="s">
        <v>583</v>
      </c>
      <c r="R52" s="5" t="s">
        <v>97</v>
      </c>
      <c r="S52" s="5" t="s">
        <v>75</v>
      </c>
      <c r="T52" s="7" t="s">
        <v>57</v>
      </c>
      <c r="U52" s="7" t="s">
        <v>58</v>
      </c>
    </row>
    <row r="53" ht="70" customHeight="1" spans="1:21">
      <c r="A53" s="4">
        <v>49</v>
      </c>
      <c r="B53" s="5" t="s">
        <v>584</v>
      </c>
      <c r="C53" s="5" t="s">
        <v>585</v>
      </c>
      <c r="D53" s="5" t="s">
        <v>586</v>
      </c>
      <c r="E53" s="5" t="s">
        <v>417</v>
      </c>
      <c r="F53" s="5" t="s">
        <v>587</v>
      </c>
      <c r="G53" s="5" t="s">
        <v>588</v>
      </c>
      <c r="H53" s="5" t="s">
        <v>539</v>
      </c>
      <c r="I53" s="5" t="s">
        <v>22</v>
      </c>
      <c r="J53" s="5" t="s">
        <v>540</v>
      </c>
      <c r="K53" s="5" t="s">
        <v>254</v>
      </c>
      <c r="L53" s="5" t="s">
        <v>589</v>
      </c>
      <c r="M53" s="5" t="s">
        <v>590</v>
      </c>
      <c r="N53" s="5" t="s">
        <v>70</v>
      </c>
      <c r="O53" s="5" t="s">
        <v>591</v>
      </c>
      <c r="P53" s="5" t="s">
        <v>592</v>
      </c>
      <c r="Q53" s="5" t="s">
        <v>593</v>
      </c>
      <c r="R53" s="5" t="s">
        <v>131</v>
      </c>
      <c r="S53" s="5" t="s">
        <v>594</v>
      </c>
      <c r="T53" s="7" t="s">
        <v>57</v>
      </c>
      <c r="U53" s="7" t="s">
        <v>58</v>
      </c>
    </row>
    <row r="54" ht="70" customHeight="1" spans="1:21">
      <c r="A54" s="4">
        <v>50</v>
      </c>
      <c r="B54" s="5" t="s">
        <v>595</v>
      </c>
      <c r="C54" s="5" t="s">
        <v>596</v>
      </c>
      <c r="D54" s="5" t="s">
        <v>597</v>
      </c>
      <c r="E54" s="5" t="s">
        <v>225</v>
      </c>
      <c r="F54" s="5" t="s">
        <v>598</v>
      </c>
      <c r="G54" s="5" t="s">
        <v>599</v>
      </c>
      <c r="H54" s="5" t="s">
        <v>539</v>
      </c>
      <c r="I54" s="5" t="s">
        <v>22</v>
      </c>
      <c r="J54" s="5" t="s">
        <v>540</v>
      </c>
      <c r="K54" s="5" t="s">
        <v>254</v>
      </c>
      <c r="L54" s="5" t="s">
        <v>600</v>
      </c>
      <c r="M54" s="5" t="s">
        <v>601</v>
      </c>
      <c r="N54" s="5" t="s">
        <v>70</v>
      </c>
      <c r="O54" s="5" t="s">
        <v>602</v>
      </c>
      <c r="P54" s="5" t="s">
        <v>603</v>
      </c>
      <c r="Q54" s="5" t="s">
        <v>604</v>
      </c>
      <c r="R54" s="5" t="s">
        <v>131</v>
      </c>
      <c r="S54" s="5" t="s">
        <v>75</v>
      </c>
      <c r="T54" s="7" t="s">
        <v>57</v>
      </c>
      <c r="U54" s="7" t="s">
        <v>58</v>
      </c>
    </row>
    <row r="55" ht="70" customHeight="1" spans="1:21">
      <c r="A55" s="4">
        <v>51</v>
      </c>
      <c r="B55" s="5" t="s">
        <v>605</v>
      </c>
      <c r="C55" s="5" t="s">
        <v>606</v>
      </c>
      <c r="D55" s="5" t="s">
        <v>607</v>
      </c>
      <c r="E55" s="5" t="s">
        <v>608</v>
      </c>
      <c r="F55" s="5" t="s">
        <v>609</v>
      </c>
      <c r="G55" s="5" t="s">
        <v>610</v>
      </c>
      <c r="H55" s="5" t="s">
        <v>539</v>
      </c>
      <c r="I55" s="5" t="s">
        <v>22</v>
      </c>
      <c r="J55" s="5" t="s">
        <v>540</v>
      </c>
      <c r="K55" s="5" t="s">
        <v>254</v>
      </c>
      <c r="L55" s="5" t="s">
        <v>611</v>
      </c>
      <c r="M55" s="5" t="s">
        <v>612</v>
      </c>
      <c r="N55" s="5" t="s">
        <v>70</v>
      </c>
      <c r="O55" s="5" t="s">
        <v>613</v>
      </c>
      <c r="P55" s="5" t="s">
        <v>614</v>
      </c>
      <c r="Q55" s="5" t="s">
        <v>615</v>
      </c>
      <c r="R55" s="5" t="s">
        <v>131</v>
      </c>
      <c r="S55" s="5" t="s">
        <v>616</v>
      </c>
      <c r="T55" s="7" t="s">
        <v>57</v>
      </c>
      <c r="U55" s="7" t="s">
        <v>58</v>
      </c>
    </row>
    <row r="56" ht="70" customHeight="1" spans="1:21">
      <c r="A56" s="4">
        <v>52</v>
      </c>
      <c r="B56" s="5" t="s">
        <v>617</v>
      </c>
      <c r="C56" s="5" t="s">
        <v>618</v>
      </c>
      <c r="D56" s="5" t="s">
        <v>619</v>
      </c>
      <c r="E56" s="5" t="s">
        <v>620</v>
      </c>
      <c r="F56" s="5" t="s">
        <v>621</v>
      </c>
      <c r="G56" s="5" t="s">
        <v>622</v>
      </c>
      <c r="H56" s="5" t="s">
        <v>623</v>
      </c>
      <c r="I56" s="5" t="s">
        <v>23</v>
      </c>
      <c r="J56" s="5" t="s">
        <v>624</v>
      </c>
      <c r="K56" s="5" t="s">
        <v>67</v>
      </c>
      <c r="L56" s="5" t="s">
        <v>625</v>
      </c>
      <c r="M56" s="5" t="s">
        <v>626</v>
      </c>
      <c r="N56" s="5" t="s">
        <v>93</v>
      </c>
      <c r="O56" s="5" t="s">
        <v>627</v>
      </c>
      <c r="P56" s="5" t="s">
        <v>628</v>
      </c>
      <c r="Q56" s="5" t="s">
        <v>629</v>
      </c>
      <c r="R56" s="5" t="s">
        <v>630</v>
      </c>
      <c r="S56" s="5" t="s">
        <v>631</v>
      </c>
      <c r="T56" s="7" t="s">
        <v>57</v>
      </c>
      <c r="U56" s="7" t="s">
        <v>58</v>
      </c>
    </row>
    <row r="57" ht="70" customHeight="1" spans="1:21">
      <c r="A57" s="4">
        <v>53</v>
      </c>
      <c r="B57" s="5" t="s">
        <v>632</v>
      </c>
      <c r="C57" s="5" t="s">
        <v>633</v>
      </c>
      <c r="D57" s="5" t="s">
        <v>634</v>
      </c>
      <c r="E57" s="5" t="s">
        <v>635</v>
      </c>
      <c r="F57" s="5" t="s">
        <v>636</v>
      </c>
      <c r="G57" s="5" t="s">
        <v>637</v>
      </c>
      <c r="H57" s="5" t="s">
        <v>623</v>
      </c>
      <c r="I57" s="5" t="s">
        <v>23</v>
      </c>
      <c r="J57" s="5" t="s">
        <v>624</v>
      </c>
      <c r="K57" s="5" t="s">
        <v>254</v>
      </c>
      <c r="L57" s="5" t="s">
        <v>638</v>
      </c>
      <c r="M57" s="5" t="s">
        <v>639</v>
      </c>
      <c r="N57" s="5" t="s">
        <v>93</v>
      </c>
      <c r="O57" s="5" t="s">
        <v>640</v>
      </c>
      <c r="P57" s="5" t="s">
        <v>641</v>
      </c>
      <c r="Q57" s="5" t="s">
        <v>642</v>
      </c>
      <c r="R57" s="5" t="s">
        <v>643</v>
      </c>
      <c r="S57" s="5" t="s">
        <v>75</v>
      </c>
      <c r="T57" s="7" t="s">
        <v>57</v>
      </c>
      <c r="U57" s="7" t="s">
        <v>58</v>
      </c>
    </row>
    <row r="58" ht="70" customHeight="1" spans="1:21">
      <c r="A58" s="4">
        <v>54</v>
      </c>
      <c r="B58" s="5" t="s">
        <v>644</v>
      </c>
      <c r="C58" s="5" t="s">
        <v>645</v>
      </c>
      <c r="D58" s="5" t="s">
        <v>646</v>
      </c>
      <c r="E58" s="5" t="s">
        <v>647</v>
      </c>
      <c r="F58" s="5" t="s">
        <v>63</v>
      </c>
      <c r="G58" s="5" t="s">
        <v>648</v>
      </c>
      <c r="H58" s="5" t="s">
        <v>623</v>
      </c>
      <c r="I58" s="5" t="s">
        <v>23</v>
      </c>
      <c r="J58" s="5" t="s">
        <v>624</v>
      </c>
      <c r="K58" s="5" t="s">
        <v>254</v>
      </c>
      <c r="L58" s="5" t="s">
        <v>649</v>
      </c>
      <c r="M58" s="5" t="s">
        <v>650</v>
      </c>
      <c r="N58" s="5" t="s">
        <v>278</v>
      </c>
      <c r="O58" s="5" t="s">
        <v>651</v>
      </c>
      <c r="P58" s="5" t="s">
        <v>652</v>
      </c>
      <c r="Q58" s="5" t="s">
        <v>653</v>
      </c>
      <c r="R58" s="5" t="s">
        <v>630</v>
      </c>
      <c r="S58" s="5" t="s">
        <v>654</v>
      </c>
      <c r="T58" s="7" t="s">
        <v>57</v>
      </c>
      <c r="U58" s="7" t="s">
        <v>58</v>
      </c>
    </row>
    <row r="59" ht="70" customHeight="1" spans="1:21">
      <c r="A59" s="4">
        <v>55</v>
      </c>
      <c r="B59" s="5" t="s">
        <v>655</v>
      </c>
      <c r="C59" s="5" t="s">
        <v>656</v>
      </c>
      <c r="D59" s="5" t="s">
        <v>657</v>
      </c>
      <c r="E59" s="5" t="s">
        <v>658</v>
      </c>
      <c r="F59" s="5" t="s">
        <v>659</v>
      </c>
      <c r="G59" s="5" t="s">
        <v>660</v>
      </c>
      <c r="H59" s="5" t="s">
        <v>623</v>
      </c>
      <c r="I59" s="5" t="s">
        <v>23</v>
      </c>
      <c r="J59" s="5" t="s">
        <v>624</v>
      </c>
      <c r="K59" s="5" t="s">
        <v>230</v>
      </c>
      <c r="L59" s="5" t="s">
        <v>661</v>
      </c>
      <c r="M59" s="5" t="s">
        <v>662</v>
      </c>
      <c r="N59" s="5" t="s">
        <v>278</v>
      </c>
      <c r="O59" s="5" t="s">
        <v>663</v>
      </c>
      <c r="P59" s="5" t="s">
        <v>664</v>
      </c>
      <c r="Q59" s="5" t="s">
        <v>665</v>
      </c>
      <c r="R59" s="5" t="s">
        <v>630</v>
      </c>
      <c r="S59" s="5" t="s">
        <v>75</v>
      </c>
      <c r="T59" s="7" t="s">
        <v>57</v>
      </c>
      <c r="U59" s="7" t="s">
        <v>58</v>
      </c>
    </row>
    <row r="60" ht="70" customHeight="1" spans="1:21">
      <c r="A60" s="4">
        <v>56</v>
      </c>
      <c r="B60" s="5" t="s">
        <v>666</v>
      </c>
      <c r="C60" s="5" t="s">
        <v>667</v>
      </c>
      <c r="D60" s="5" t="s">
        <v>668</v>
      </c>
      <c r="E60" s="5" t="s">
        <v>669</v>
      </c>
      <c r="F60" s="5" t="s">
        <v>670</v>
      </c>
      <c r="G60" s="5" t="s">
        <v>671</v>
      </c>
      <c r="H60" s="5" t="s">
        <v>623</v>
      </c>
      <c r="I60" s="5" t="s">
        <v>23</v>
      </c>
      <c r="J60" s="5" t="s">
        <v>624</v>
      </c>
      <c r="K60" s="5" t="s">
        <v>254</v>
      </c>
      <c r="L60" s="5" t="s">
        <v>672</v>
      </c>
      <c r="M60" s="5" t="s">
        <v>673</v>
      </c>
      <c r="N60" s="5" t="s">
        <v>93</v>
      </c>
      <c r="O60" s="5" t="s">
        <v>674</v>
      </c>
      <c r="P60" s="5" t="s">
        <v>675</v>
      </c>
      <c r="Q60" s="5" t="s">
        <v>676</v>
      </c>
      <c r="R60" s="5" t="s">
        <v>677</v>
      </c>
      <c r="S60" s="5" t="s">
        <v>678</v>
      </c>
      <c r="T60" s="7" t="s">
        <v>57</v>
      </c>
      <c r="U60" s="7" t="s">
        <v>58</v>
      </c>
    </row>
    <row r="61" ht="70" customHeight="1" spans="1:21">
      <c r="A61" s="4">
        <v>57</v>
      </c>
      <c r="B61" s="5" t="s">
        <v>679</v>
      </c>
      <c r="C61" s="5" t="s">
        <v>680</v>
      </c>
      <c r="D61" s="5" t="s">
        <v>681</v>
      </c>
      <c r="E61" s="5" t="s">
        <v>682</v>
      </c>
      <c r="F61" s="5" t="s">
        <v>683</v>
      </c>
      <c r="G61" s="5" t="s">
        <v>684</v>
      </c>
      <c r="H61" s="5" t="s">
        <v>685</v>
      </c>
      <c r="I61" s="5" t="s">
        <v>23</v>
      </c>
      <c r="J61" s="5" t="s">
        <v>686</v>
      </c>
      <c r="K61" s="5" t="s">
        <v>67</v>
      </c>
      <c r="L61" s="5" t="s">
        <v>687</v>
      </c>
      <c r="M61" s="5" t="s">
        <v>688</v>
      </c>
      <c r="N61" s="5" t="s">
        <v>93</v>
      </c>
      <c r="O61" s="5" t="s">
        <v>689</v>
      </c>
      <c r="P61" s="5" t="s">
        <v>690</v>
      </c>
      <c r="Q61" s="5" t="s">
        <v>691</v>
      </c>
      <c r="R61" s="5" t="s">
        <v>643</v>
      </c>
      <c r="S61" s="5" t="s">
        <v>75</v>
      </c>
      <c r="T61" s="7" t="s">
        <v>57</v>
      </c>
      <c r="U61" s="7" t="s">
        <v>58</v>
      </c>
    </row>
    <row r="62" ht="70" customHeight="1" spans="1:21">
      <c r="A62" s="4">
        <v>58</v>
      </c>
      <c r="B62" s="5" t="s">
        <v>692</v>
      </c>
      <c r="C62" s="5" t="s">
        <v>693</v>
      </c>
      <c r="D62" s="5" t="s">
        <v>694</v>
      </c>
      <c r="E62" s="5" t="s">
        <v>695</v>
      </c>
      <c r="F62" s="5" t="s">
        <v>696</v>
      </c>
      <c r="G62" s="5" t="s">
        <v>697</v>
      </c>
      <c r="H62" s="5" t="s">
        <v>685</v>
      </c>
      <c r="I62" s="5" t="s">
        <v>23</v>
      </c>
      <c r="J62" s="5" t="s">
        <v>686</v>
      </c>
      <c r="K62" s="5" t="s">
        <v>67</v>
      </c>
      <c r="L62" s="5" t="s">
        <v>698</v>
      </c>
      <c r="M62" s="5" t="s">
        <v>699</v>
      </c>
      <c r="N62" s="5" t="s">
        <v>93</v>
      </c>
      <c r="O62" s="5" t="s">
        <v>700</v>
      </c>
      <c r="P62" s="5" t="s">
        <v>701</v>
      </c>
      <c r="Q62" s="5" t="s">
        <v>702</v>
      </c>
      <c r="R62" s="5" t="s">
        <v>643</v>
      </c>
      <c r="S62" s="5" t="s">
        <v>75</v>
      </c>
      <c r="T62" s="7" t="s">
        <v>57</v>
      </c>
      <c r="U62" s="7" t="s">
        <v>58</v>
      </c>
    </row>
    <row r="63" ht="70" customHeight="1" spans="1:21">
      <c r="A63" s="4">
        <v>59</v>
      </c>
      <c r="B63" s="5" t="s">
        <v>703</v>
      </c>
      <c r="C63" s="5" t="s">
        <v>704</v>
      </c>
      <c r="D63" s="5" t="s">
        <v>705</v>
      </c>
      <c r="E63" s="5" t="s">
        <v>706</v>
      </c>
      <c r="F63" s="5" t="s">
        <v>707</v>
      </c>
      <c r="G63" s="5" t="s">
        <v>708</v>
      </c>
      <c r="H63" s="5" t="s">
        <v>685</v>
      </c>
      <c r="I63" s="5" t="s">
        <v>23</v>
      </c>
      <c r="J63" s="5" t="s">
        <v>686</v>
      </c>
      <c r="K63" s="5" t="s">
        <v>67</v>
      </c>
      <c r="L63" s="5" t="s">
        <v>709</v>
      </c>
      <c r="M63" s="5" t="s">
        <v>710</v>
      </c>
      <c r="N63" s="5" t="s">
        <v>93</v>
      </c>
      <c r="O63" s="5" t="s">
        <v>711</v>
      </c>
      <c r="P63" s="5" t="s">
        <v>712</v>
      </c>
      <c r="Q63" s="5" t="s">
        <v>713</v>
      </c>
      <c r="R63" s="5" t="s">
        <v>630</v>
      </c>
      <c r="S63" s="5" t="s">
        <v>75</v>
      </c>
      <c r="T63" s="7" t="s">
        <v>57</v>
      </c>
      <c r="U63" s="7" t="s">
        <v>58</v>
      </c>
    </row>
    <row r="64" ht="70" customHeight="1" spans="1:21">
      <c r="A64" s="4">
        <v>60</v>
      </c>
      <c r="B64" s="5" t="s">
        <v>714</v>
      </c>
      <c r="C64" s="5" t="s">
        <v>715</v>
      </c>
      <c r="D64" s="5" t="s">
        <v>716</v>
      </c>
      <c r="E64" s="5" t="s">
        <v>717</v>
      </c>
      <c r="F64" s="5" t="s">
        <v>718</v>
      </c>
      <c r="G64" s="5" t="s">
        <v>719</v>
      </c>
      <c r="H64" s="5" t="s">
        <v>720</v>
      </c>
      <c r="I64" s="5" t="s">
        <v>23</v>
      </c>
      <c r="J64" s="5" t="s">
        <v>721</v>
      </c>
      <c r="K64" s="5" t="s">
        <v>254</v>
      </c>
      <c r="L64" s="5" t="s">
        <v>722</v>
      </c>
      <c r="M64" s="5" t="s">
        <v>723</v>
      </c>
      <c r="N64" s="5" t="s">
        <v>93</v>
      </c>
      <c r="O64" s="5" t="s">
        <v>724</v>
      </c>
      <c r="P64" s="5" t="s">
        <v>725</v>
      </c>
      <c r="Q64" s="5" t="s">
        <v>726</v>
      </c>
      <c r="R64" s="5" t="s">
        <v>643</v>
      </c>
      <c r="S64" s="5" t="s">
        <v>75</v>
      </c>
      <c r="T64" s="7" t="s">
        <v>57</v>
      </c>
      <c r="U64" s="7" t="s">
        <v>58</v>
      </c>
    </row>
    <row r="65" ht="70" customHeight="1" spans="1:21">
      <c r="A65" s="4">
        <v>61</v>
      </c>
      <c r="B65" s="5" t="s">
        <v>727</v>
      </c>
      <c r="C65" s="5" t="s">
        <v>728</v>
      </c>
      <c r="D65" s="5" t="s">
        <v>729</v>
      </c>
      <c r="E65" s="5" t="s">
        <v>730</v>
      </c>
      <c r="F65" s="5" t="s">
        <v>63</v>
      </c>
      <c r="G65" s="5" t="s">
        <v>731</v>
      </c>
      <c r="H65" s="5" t="s">
        <v>720</v>
      </c>
      <c r="I65" s="5" t="s">
        <v>23</v>
      </c>
      <c r="J65" s="5" t="s">
        <v>721</v>
      </c>
      <c r="K65" s="5" t="s">
        <v>230</v>
      </c>
      <c r="L65" s="5" t="s">
        <v>732</v>
      </c>
      <c r="M65" s="5" t="s">
        <v>733</v>
      </c>
      <c r="N65" s="5" t="s">
        <v>278</v>
      </c>
      <c r="O65" s="5" t="s">
        <v>734</v>
      </c>
      <c r="P65" s="5" t="s">
        <v>735</v>
      </c>
      <c r="Q65" s="5" t="s">
        <v>736</v>
      </c>
      <c r="R65" s="5" t="s">
        <v>630</v>
      </c>
      <c r="S65" s="5" t="s">
        <v>737</v>
      </c>
      <c r="T65" s="7" t="s">
        <v>57</v>
      </c>
      <c r="U65" s="7" t="s">
        <v>58</v>
      </c>
    </row>
    <row r="66" ht="70" customHeight="1" spans="1:21">
      <c r="A66" s="4">
        <v>62</v>
      </c>
      <c r="B66" s="5" t="s">
        <v>738</v>
      </c>
      <c r="C66" s="5" t="s">
        <v>739</v>
      </c>
      <c r="D66" s="5" t="s">
        <v>61</v>
      </c>
      <c r="E66" s="5" t="s">
        <v>740</v>
      </c>
      <c r="F66" s="5" t="s">
        <v>741</v>
      </c>
      <c r="G66" s="5" t="s">
        <v>742</v>
      </c>
      <c r="H66" s="5" t="s">
        <v>743</v>
      </c>
      <c r="I66" s="5" t="s">
        <v>24</v>
      </c>
      <c r="J66" s="5" t="s">
        <v>744</v>
      </c>
      <c r="K66" s="5" t="s">
        <v>230</v>
      </c>
      <c r="L66" s="5" t="s">
        <v>745</v>
      </c>
      <c r="M66" s="5" t="s">
        <v>746</v>
      </c>
      <c r="N66" s="5" t="s">
        <v>70</v>
      </c>
      <c r="O66" s="5" t="s">
        <v>747</v>
      </c>
      <c r="P66" s="5" t="s">
        <v>748</v>
      </c>
      <c r="Q66" s="5" t="s">
        <v>749</v>
      </c>
      <c r="R66" s="5" t="s">
        <v>750</v>
      </c>
      <c r="S66" s="5" t="s">
        <v>751</v>
      </c>
      <c r="T66" s="7" t="s">
        <v>57</v>
      </c>
      <c r="U66" s="7" t="s">
        <v>58</v>
      </c>
    </row>
    <row r="67" ht="70" customHeight="1" spans="1:21">
      <c r="A67" s="4">
        <v>63</v>
      </c>
      <c r="B67" s="5" t="s">
        <v>752</v>
      </c>
      <c r="C67" s="5" t="s">
        <v>753</v>
      </c>
      <c r="D67" s="5" t="s">
        <v>754</v>
      </c>
      <c r="E67" s="5" t="s">
        <v>240</v>
      </c>
      <c r="F67" s="5" t="s">
        <v>755</v>
      </c>
      <c r="G67" s="5" t="s">
        <v>756</v>
      </c>
      <c r="H67" s="5" t="s">
        <v>743</v>
      </c>
      <c r="I67" s="5" t="s">
        <v>24</v>
      </c>
      <c r="J67" s="5" t="s">
        <v>744</v>
      </c>
      <c r="K67" s="5" t="s">
        <v>230</v>
      </c>
      <c r="L67" s="5" t="s">
        <v>757</v>
      </c>
      <c r="M67" s="5" t="s">
        <v>758</v>
      </c>
      <c r="N67" s="5" t="s">
        <v>759</v>
      </c>
      <c r="O67" s="5" t="s">
        <v>760</v>
      </c>
      <c r="P67" s="5" t="s">
        <v>761</v>
      </c>
      <c r="Q67" s="5" t="s">
        <v>762</v>
      </c>
      <c r="R67" s="5" t="s">
        <v>750</v>
      </c>
      <c r="S67" s="5" t="s">
        <v>763</v>
      </c>
      <c r="T67" s="7" t="s">
        <v>57</v>
      </c>
      <c r="U67" s="7" t="s">
        <v>58</v>
      </c>
    </row>
    <row r="68" ht="70" customHeight="1" spans="1:21">
      <c r="A68" s="4">
        <v>64</v>
      </c>
      <c r="B68" s="5" t="s">
        <v>764</v>
      </c>
      <c r="C68" s="5" t="s">
        <v>765</v>
      </c>
      <c r="D68" s="5" t="s">
        <v>766</v>
      </c>
      <c r="E68" s="5" t="s">
        <v>767</v>
      </c>
      <c r="F68" s="5" t="s">
        <v>768</v>
      </c>
      <c r="G68" s="5" t="s">
        <v>769</v>
      </c>
      <c r="H68" s="5" t="s">
        <v>743</v>
      </c>
      <c r="I68" s="5" t="s">
        <v>24</v>
      </c>
      <c r="J68" s="5" t="s">
        <v>744</v>
      </c>
      <c r="K68" s="5" t="s">
        <v>254</v>
      </c>
      <c r="L68" s="5" t="s">
        <v>770</v>
      </c>
      <c r="M68" s="5" t="s">
        <v>771</v>
      </c>
      <c r="N68" s="5" t="s">
        <v>93</v>
      </c>
      <c r="O68" s="5" t="s">
        <v>772</v>
      </c>
      <c r="P68" s="5" t="s">
        <v>773</v>
      </c>
      <c r="Q68" s="5" t="s">
        <v>774</v>
      </c>
      <c r="R68" s="5" t="s">
        <v>775</v>
      </c>
      <c r="S68" s="5" t="s">
        <v>75</v>
      </c>
      <c r="T68" s="7" t="s">
        <v>57</v>
      </c>
      <c r="U68" s="7" t="s">
        <v>58</v>
      </c>
    </row>
    <row r="69" ht="70" customHeight="1" spans="1:21">
      <c r="A69" s="4">
        <v>65</v>
      </c>
      <c r="B69" s="5" t="s">
        <v>776</v>
      </c>
      <c r="C69" s="5" t="s">
        <v>777</v>
      </c>
      <c r="D69" s="5" t="s">
        <v>778</v>
      </c>
      <c r="E69" s="5" t="s">
        <v>373</v>
      </c>
      <c r="F69" s="5" t="s">
        <v>779</v>
      </c>
      <c r="G69" s="5" t="s">
        <v>780</v>
      </c>
      <c r="H69" s="5" t="s">
        <v>743</v>
      </c>
      <c r="I69" s="5" t="s">
        <v>24</v>
      </c>
      <c r="J69" s="5" t="s">
        <v>744</v>
      </c>
      <c r="K69" s="5" t="s">
        <v>230</v>
      </c>
      <c r="L69" s="5" t="s">
        <v>781</v>
      </c>
      <c r="M69" s="5" t="s">
        <v>782</v>
      </c>
      <c r="N69" s="5" t="s">
        <v>278</v>
      </c>
      <c r="O69" s="5" t="s">
        <v>783</v>
      </c>
      <c r="P69" s="5" t="s">
        <v>784</v>
      </c>
      <c r="Q69" s="5" t="s">
        <v>785</v>
      </c>
      <c r="R69" s="5" t="s">
        <v>750</v>
      </c>
      <c r="S69" s="5" t="s">
        <v>75</v>
      </c>
      <c r="T69" s="7" t="s">
        <v>57</v>
      </c>
      <c r="U69" s="7" t="s">
        <v>58</v>
      </c>
    </row>
    <row r="70" ht="70" customHeight="1" spans="1:21">
      <c r="A70" s="4">
        <v>66</v>
      </c>
      <c r="B70" s="5" t="s">
        <v>786</v>
      </c>
      <c r="C70" s="5" t="s">
        <v>787</v>
      </c>
      <c r="D70" s="5" t="s">
        <v>788</v>
      </c>
      <c r="E70" s="5" t="s">
        <v>225</v>
      </c>
      <c r="F70" s="5" t="s">
        <v>789</v>
      </c>
      <c r="G70" s="5" t="s">
        <v>790</v>
      </c>
      <c r="H70" s="5" t="s">
        <v>743</v>
      </c>
      <c r="I70" s="5" t="s">
        <v>24</v>
      </c>
      <c r="J70" s="5" t="s">
        <v>744</v>
      </c>
      <c r="K70" s="5" t="s">
        <v>254</v>
      </c>
      <c r="L70" s="5" t="s">
        <v>791</v>
      </c>
      <c r="M70" s="5" t="s">
        <v>792</v>
      </c>
      <c r="N70" s="5" t="s">
        <v>93</v>
      </c>
      <c r="O70" s="5" t="s">
        <v>793</v>
      </c>
      <c r="P70" s="5" t="s">
        <v>794</v>
      </c>
      <c r="Q70" s="5" t="s">
        <v>795</v>
      </c>
      <c r="R70" s="5" t="s">
        <v>775</v>
      </c>
      <c r="S70" s="5" t="s">
        <v>75</v>
      </c>
      <c r="T70" s="7" t="s">
        <v>57</v>
      </c>
      <c r="U70" s="7" t="s">
        <v>58</v>
      </c>
    </row>
    <row r="71" ht="70" customHeight="1" spans="1:21">
      <c r="A71" s="4">
        <v>67</v>
      </c>
      <c r="B71" s="5" t="s">
        <v>796</v>
      </c>
      <c r="C71" s="5" t="s">
        <v>797</v>
      </c>
      <c r="D71" s="5" t="s">
        <v>798</v>
      </c>
      <c r="E71" s="5" t="s">
        <v>225</v>
      </c>
      <c r="F71" s="5" t="s">
        <v>799</v>
      </c>
      <c r="G71" s="5" t="s">
        <v>800</v>
      </c>
      <c r="H71" s="5" t="s">
        <v>743</v>
      </c>
      <c r="I71" s="5" t="s">
        <v>24</v>
      </c>
      <c r="J71" s="5" t="s">
        <v>744</v>
      </c>
      <c r="K71" s="5" t="s">
        <v>230</v>
      </c>
      <c r="L71" s="5" t="s">
        <v>801</v>
      </c>
      <c r="M71" s="5" t="s">
        <v>802</v>
      </c>
      <c r="N71" s="5" t="s">
        <v>759</v>
      </c>
      <c r="O71" s="5" t="s">
        <v>803</v>
      </c>
      <c r="P71" s="5" t="s">
        <v>804</v>
      </c>
      <c r="Q71" s="5" t="s">
        <v>805</v>
      </c>
      <c r="R71" s="5" t="s">
        <v>750</v>
      </c>
      <c r="S71" s="5" t="s">
        <v>75</v>
      </c>
      <c r="T71" s="7" t="s">
        <v>57</v>
      </c>
      <c r="U71" s="7" t="s">
        <v>58</v>
      </c>
    </row>
    <row r="72" ht="70" customHeight="1" spans="1:21">
      <c r="A72" s="4">
        <v>68</v>
      </c>
      <c r="B72" s="5" t="s">
        <v>806</v>
      </c>
      <c r="C72" s="5" t="s">
        <v>807</v>
      </c>
      <c r="D72" s="5" t="s">
        <v>808</v>
      </c>
      <c r="E72" s="5" t="s">
        <v>240</v>
      </c>
      <c r="F72" s="5" t="s">
        <v>274</v>
      </c>
      <c r="G72" s="5" t="s">
        <v>809</v>
      </c>
      <c r="H72" s="5" t="s">
        <v>743</v>
      </c>
      <c r="I72" s="5" t="s">
        <v>24</v>
      </c>
      <c r="J72" s="5" t="s">
        <v>744</v>
      </c>
      <c r="K72" s="5" t="s">
        <v>254</v>
      </c>
      <c r="L72" s="5" t="s">
        <v>810</v>
      </c>
      <c r="M72" s="5" t="s">
        <v>811</v>
      </c>
      <c r="N72" s="5" t="s">
        <v>759</v>
      </c>
      <c r="O72" s="5" t="s">
        <v>812</v>
      </c>
      <c r="P72" s="5" t="s">
        <v>813</v>
      </c>
      <c r="Q72" s="5" t="s">
        <v>814</v>
      </c>
      <c r="R72" s="5" t="s">
        <v>750</v>
      </c>
      <c r="S72" s="5" t="s">
        <v>815</v>
      </c>
      <c r="T72" s="7" t="s">
        <v>57</v>
      </c>
      <c r="U72" s="7" t="s">
        <v>58</v>
      </c>
    </row>
    <row r="73" ht="70" customHeight="1" spans="1:21">
      <c r="A73" s="4">
        <v>69</v>
      </c>
      <c r="B73" s="5" t="s">
        <v>816</v>
      </c>
      <c r="C73" s="5" t="s">
        <v>817</v>
      </c>
      <c r="D73" s="5" t="s">
        <v>818</v>
      </c>
      <c r="E73" s="5" t="s">
        <v>819</v>
      </c>
      <c r="F73" s="5" t="s">
        <v>820</v>
      </c>
      <c r="G73" s="5" t="s">
        <v>821</v>
      </c>
      <c r="H73" s="5" t="s">
        <v>743</v>
      </c>
      <c r="I73" s="5" t="s">
        <v>24</v>
      </c>
      <c r="J73" s="5" t="s">
        <v>744</v>
      </c>
      <c r="K73" s="5" t="s">
        <v>230</v>
      </c>
      <c r="L73" s="5" t="s">
        <v>822</v>
      </c>
      <c r="M73" s="5" t="s">
        <v>823</v>
      </c>
      <c r="N73" s="5" t="s">
        <v>70</v>
      </c>
      <c r="O73" s="5" t="s">
        <v>824</v>
      </c>
      <c r="P73" s="5" t="s">
        <v>825</v>
      </c>
      <c r="Q73" s="5" t="s">
        <v>826</v>
      </c>
      <c r="R73" s="5" t="s">
        <v>750</v>
      </c>
      <c r="S73" s="5" t="s">
        <v>75</v>
      </c>
      <c r="T73" s="7" t="s">
        <v>57</v>
      </c>
      <c r="U73" s="7" t="s">
        <v>58</v>
      </c>
    </row>
    <row r="74" ht="70" customHeight="1" spans="1:21">
      <c r="A74" s="4">
        <v>70</v>
      </c>
      <c r="B74" s="5" t="s">
        <v>827</v>
      </c>
      <c r="C74" s="5" t="s">
        <v>828</v>
      </c>
      <c r="D74" s="5" t="s">
        <v>829</v>
      </c>
      <c r="E74" s="5" t="s">
        <v>225</v>
      </c>
      <c r="F74" s="5" t="s">
        <v>830</v>
      </c>
      <c r="G74" s="5" t="s">
        <v>831</v>
      </c>
      <c r="H74" s="5" t="s">
        <v>743</v>
      </c>
      <c r="I74" s="5" t="s">
        <v>24</v>
      </c>
      <c r="J74" s="5" t="s">
        <v>744</v>
      </c>
      <c r="K74" s="5" t="s">
        <v>230</v>
      </c>
      <c r="L74" s="5" t="s">
        <v>832</v>
      </c>
      <c r="M74" s="5" t="s">
        <v>833</v>
      </c>
      <c r="N74" s="5" t="s">
        <v>759</v>
      </c>
      <c r="O74" s="5" t="s">
        <v>834</v>
      </c>
      <c r="P74" s="5" t="s">
        <v>835</v>
      </c>
      <c r="Q74" s="5" t="s">
        <v>836</v>
      </c>
      <c r="R74" s="5" t="s">
        <v>750</v>
      </c>
      <c r="S74" s="5" t="s">
        <v>837</v>
      </c>
      <c r="T74" s="7" t="s">
        <v>57</v>
      </c>
      <c r="U74" s="7" t="s">
        <v>58</v>
      </c>
    </row>
    <row r="75" ht="70" customHeight="1" spans="1:21">
      <c r="A75" s="4">
        <v>71</v>
      </c>
      <c r="B75" s="5" t="s">
        <v>838</v>
      </c>
      <c r="C75" s="5" t="s">
        <v>839</v>
      </c>
      <c r="D75" s="5" t="s">
        <v>840</v>
      </c>
      <c r="E75" s="5" t="s">
        <v>841</v>
      </c>
      <c r="F75" s="5" t="s">
        <v>63</v>
      </c>
      <c r="G75" s="5" t="s">
        <v>842</v>
      </c>
      <c r="H75" s="5" t="s">
        <v>743</v>
      </c>
      <c r="I75" s="5" t="s">
        <v>24</v>
      </c>
      <c r="J75" s="5" t="s">
        <v>744</v>
      </c>
      <c r="K75" s="5" t="s">
        <v>230</v>
      </c>
      <c r="L75" s="5" t="s">
        <v>843</v>
      </c>
      <c r="M75" s="5" t="s">
        <v>844</v>
      </c>
      <c r="N75" s="5" t="s">
        <v>759</v>
      </c>
      <c r="O75" s="5" t="s">
        <v>845</v>
      </c>
      <c r="P75" s="5" t="s">
        <v>846</v>
      </c>
      <c r="Q75" s="5" t="s">
        <v>847</v>
      </c>
      <c r="R75" s="5" t="s">
        <v>750</v>
      </c>
      <c r="S75" s="5" t="s">
        <v>75</v>
      </c>
      <c r="T75" s="7" t="s">
        <v>57</v>
      </c>
      <c r="U75" s="7" t="s">
        <v>58</v>
      </c>
    </row>
    <row r="76" ht="70" customHeight="1" spans="1:21">
      <c r="A76" s="4">
        <v>72</v>
      </c>
      <c r="B76" s="5" t="s">
        <v>848</v>
      </c>
      <c r="C76" s="5" t="s">
        <v>849</v>
      </c>
      <c r="D76" s="5" t="s">
        <v>850</v>
      </c>
      <c r="E76" s="5" t="s">
        <v>851</v>
      </c>
      <c r="F76" s="5" t="s">
        <v>852</v>
      </c>
      <c r="G76" s="5" t="s">
        <v>853</v>
      </c>
      <c r="H76" s="5" t="s">
        <v>743</v>
      </c>
      <c r="I76" s="5" t="s">
        <v>24</v>
      </c>
      <c r="J76" s="5" t="s">
        <v>744</v>
      </c>
      <c r="K76" s="5" t="s">
        <v>230</v>
      </c>
      <c r="L76" s="5" t="s">
        <v>854</v>
      </c>
      <c r="M76" s="5" t="s">
        <v>855</v>
      </c>
      <c r="N76" s="5" t="s">
        <v>759</v>
      </c>
      <c r="O76" s="5" t="s">
        <v>856</v>
      </c>
      <c r="P76" s="5" t="s">
        <v>857</v>
      </c>
      <c r="Q76" s="5" t="s">
        <v>858</v>
      </c>
      <c r="R76" s="5" t="s">
        <v>750</v>
      </c>
      <c r="S76" s="5" t="s">
        <v>75</v>
      </c>
      <c r="T76" s="7" t="s">
        <v>57</v>
      </c>
      <c r="U76" s="7" t="s">
        <v>58</v>
      </c>
    </row>
    <row r="77" ht="70" customHeight="1" spans="1:21">
      <c r="A77" s="4">
        <v>73</v>
      </c>
      <c r="B77" s="5" t="s">
        <v>859</v>
      </c>
      <c r="C77" s="5" t="s">
        <v>860</v>
      </c>
      <c r="D77" s="5" t="s">
        <v>861</v>
      </c>
      <c r="E77" s="5" t="s">
        <v>862</v>
      </c>
      <c r="F77" s="5" t="s">
        <v>395</v>
      </c>
      <c r="G77" s="5" t="s">
        <v>863</v>
      </c>
      <c r="H77" s="5" t="s">
        <v>743</v>
      </c>
      <c r="I77" s="5" t="s">
        <v>24</v>
      </c>
      <c r="J77" s="5" t="s">
        <v>744</v>
      </c>
      <c r="K77" s="5" t="s">
        <v>254</v>
      </c>
      <c r="L77" s="5" t="s">
        <v>864</v>
      </c>
      <c r="M77" s="5" t="s">
        <v>865</v>
      </c>
      <c r="N77" s="5" t="s">
        <v>70</v>
      </c>
      <c r="O77" s="5" t="s">
        <v>464</v>
      </c>
      <c r="P77" s="5" t="s">
        <v>866</v>
      </c>
      <c r="Q77" s="5" t="s">
        <v>867</v>
      </c>
      <c r="R77" s="5" t="s">
        <v>868</v>
      </c>
      <c r="S77" s="5" t="s">
        <v>75</v>
      </c>
      <c r="T77" s="7" t="s">
        <v>57</v>
      </c>
      <c r="U77" s="7" t="s">
        <v>58</v>
      </c>
    </row>
    <row r="78" ht="70" customHeight="1" spans="1:21">
      <c r="A78" s="4">
        <v>74</v>
      </c>
      <c r="B78" s="5" t="s">
        <v>869</v>
      </c>
      <c r="C78" s="5" t="s">
        <v>870</v>
      </c>
      <c r="D78" s="5" t="s">
        <v>871</v>
      </c>
      <c r="E78" s="5" t="s">
        <v>872</v>
      </c>
      <c r="F78" s="5" t="s">
        <v>63</v>
      </c>
      <c r="G78" s="5" t="s">
        <v>873</v>
      </c>
      <c r="H78" s="5" t="s">
        <v>743</v>
      </c>
      <c r="I78" s="5" t="s">
        <v>24</v>
      </c>
      <c r="J78" s="5" t="s">
        <v>744</v>
      </c>
      <c r="K78" s="5" t="s">
        <v>230</v>
      </c>
      <c r="L78" s="5" t="s">
        <v>874</v>
      </c>
      <c r="M78" s="5" t="s">
        <v>875</v>
      </c>
      <c r="N78" s="5" t="s">
        <v>759</v>
      </c>
      <c r="O78" s="5" t="s">
        <v>876</v>
      </c>
      <c r="P78" s="5" t="s">
        <v>877</v>
      </c>
      <c r="Q78" s="5" t="s">
        <v>878</v>
      </c>
      <c r="R78" s="5" t="s">
        <v>750</v>
      </c>
      <c r="S78" s="5" t="s">
        <v>75</v>
      </c>
      <c r="T78" s="7" t="s">
        <v>57</v>
      </c>
      <c r="U78" s="7" t="s">
        <v>58</v>
      </c>
    </row>
    <row r="79" ht="70" customHeight="1" spans="1:21">
      <c r="A79" s="4">
        <v>75</v>
      </c>
      <c r="B79" s="5" t="s">
        <v>879</v>
      </c>
      <c r="C79" s="5" t="s">
        <v>880</v>
      </c>
      <c r="D79" s="5" t="s">
        <v>437</v>
      </c>
      <c r="E79" s="5" t="s">
        <v>881</v>
      </c>
      <c r="F79" s="5" t="s">
        <v>439</v>
      </c>
      <c r="G79" s="5" t="s">
        <v>882</v>
      </c>
      <c r="H79" s="5" t="s">
        <v>743</v>
      </c>
      <c r="I79" s="5" t="s">
        <v>24</v>
      </c>
      <c r="J79" s="5" t="s">
        <v>744</v>
      </c>
      <c r="K79" s="5" t="s">
        <v>254</v>
      </c>
      <c r="L79" s="5" t="s">
        <v>883</v>
      </c>
      <c r="M79" s="5" t="s">
        <v>884</v>
      </c>
      <c r="N79" s="5" t="s">
        <v>70</v>
      </c>
      <c r="O79" s="5" t="s">
        <v>885</v>
      </c>
      <c r="P79" s="5" t="s">
        <v>886</v>
      </c>
      <c r="Q79" s="5" t="s">
        <v>887</v>
      </c>
      <c r="R79" s="5" t="s">
        <v>868</v>
      </c>
      <c r="S79" s="5" t="s">
        <v>75</v>
      </c>
      <c r="T79" s="7" t="s">
        <v>57</v>
      </c>
      <c r="U79" s="7" t="s">
        <v>58</v>
      </c>
    </row>
    <row r="80" ht="70" customHeight="1" spans="1:21">
      <c r="A80" s="4">
        <v>76</v>
      </c>
      <c r="B80" s="5" t="s">
        <v>666</v>
      </c>
      <c r="C80" s="5" t="s">
        <v>888</v>
      </c>
      <c r="D80" s="5" t="s">
        <v>889</v>
      </c>
      <c r="E80" s="5" t="s">
        <v>890</v>
      </c>
      <c r="F80" s="5" t="s">
        <v>891</v>
      </c>
      <c r="G80" s="5" t="s">
        <v>892</v>
      </c>
      <c r="H80" s="5" t="s">
        <v>743</v>
      </c>
      <c r="I80" s="5" t="s">
        <v>24</v>
      </c>
      <c r="J80" s="5" t="s">
        <v>744</v>
      </c>
      <c r="K80" s="5" t="s">
        <v>254</v>
      </c>
      <c r="L80" s="5" t="s">
        <v>893</v>
      </c>
      <c r="M80" s="5" t="s">
        <v>894</v>
      </c>
      <c r="N80" s="5" t="s">
        <v>278</v>
      </c>
      <c r="O80" s="5" t="s">
        <v>895</v>
      </c>
      <c r="P80" s="5" t="s">
        <v>896</v>
      </c>
      <c r="Q80" s="5" t="s">
        <v>897</v>
      </c>
      <c r="R80" s="5" t="s">
        <v>775</v>
      </c>
      <c r="S80" s="5" t="s">
        <v>898</v>
      </c>
      <c r="T80" s="7" t="s">
        <v>57</v>
      </c>
      <c r="U80" s="7" t="s">
        <v>58</v>
      </c>
    </row>
    <row r="81" ht="70" customHeight="1" spans="1:21">
      <c r="A81" s="4">
        <v>77</v>
      </c>
      <c r="B81" s="5" t="s">
        <v>899</v>
      </c>
      <c r="C81" s="5" t="s">
        <v>900</v>
      </c>
      <c r="D81" s="5" t="s">
        <v>901</v>
      </c>
      <c r="E81" s="5" t="s">
        <v>902</v>
      </c>
      <c r="F81" s="5" t="s">
        <v>903</v>
      </c>
      <c r="G81" s="5" t="s">
        <v>904</v>
      </c>
      <c r="H81" s="5" t="s">
        <v>743</v>
      </c>
      <c r="I81" s="5" t="s">
        <v>24</v>
      </c>
      <c r="J81" s="5" t="s">
        <v>744</v>
      </c>
      <c r="K81" s="5" t="s">
        <v>230</v>
      </c>
      <c r="L81" s="5" t="s">
        <v>905</v>
      </c>
      <c r="M81" s="5" t="s">
        <v>906</v>
      </c>
      <c r="N81" s="5" t="s">
        <v>70</v>
      </c>
      <c r="O81" s="5" t="s">
        <v>907</v>
      </c>
      <c r="P81" s="5" t="s">
        <v>908</v>
      </c>
      <c r="Q81" s="5" t="s">
        <v>909</v>
      </c>
      <c r="R81" s="5" t="s">
        <v>750</v>
      </c>
      <c r="S81" s="5" t="s">
        <v>75</v>
      </c>
      <c r="T81" s="7" t="s">
        <v>57</v>
      </c>
      <c r="U81" s="7" t="s">
        <v>58</v>
      </c>
    </row>
    <row r="82" ht="70" customHeight="1" spans="1:21">
      <c r="A82" s="4">
        <v>78</v>
      </c>
      <c r="B82" s="5" t="s">
        <v>910</v>
      </c>
      <c r="C82" s="5" t="s">
        <v>911</v>
      </c>
      <c r="D82" s="5" t="s">
        <v>912</v>
      </c>
      <c r="E82" s="5" t="s">
        <v>913</v>
      </c>
      <c r="F82" s="5" t="s">
        <v>914</v>
      </c>
      <c r="G82" s="5" t="s">
        <v>915</v>
      </c>
      <c r="H82" s="5" t="s">
        <v>743</v>
      </c>
      <c r="I82" s="5" t="s">
        <v>24</v>
      </c>
      <c r="J82" s="5" t="s">
        <v>744</v>
      </c>
      <c r="K82" s="5" t="s">
        <v>230</v>
      </c>
      <c r="L82" s="5" t="s">
        <v>916</v>
      </c>
      <c r="M82" s="5" t="s">
        <v>917</v>
      </c>
      <c r="N82" s="5" t="s">
        <v>759</v>
      </c>
      <c r="O82" s="5" t="s">
        <v>918</v>
      </c>
      <c r="P82" s="5" t="s">
        <v>919</v>
      </c>
      <c r="Q82" s="5" t="s">
        <v>920</v>
      </c>
      <c r="R82" s="5" t="s">
        <v>750</v>
      </c>
      <c r="S82" s="5" t="s">
        <v>921</v>
      </c>
      <c r="T82" s="7" t="s">
        <v>57</v>
      </c>
      <c r="U82" s="7" t="s">
        <v>58</v>
      </c>
    </row>
    <row r="83" ht="70" customHeight="1" spans="1:21">
      <c r="A83" s="4">
        <v>79</v>
      </c>
      <c r="B83" s="5" t="s">
        <v>922</v>
      </c>
      <c r="C83" s="5" t="s">
        <v>923</v>
      </c>
      <c r="D83" s="5" t="s">
        <v>924</v>
      </c>
      <c r="E83" s="5" t="s">
        <v>925</v>
      </c>
      <c r="F83" s="5" t="s">
        <v>926</v>
      </c>
      <c r="G83" s="5" t="s">
        <v>927</v>
      </c>
      <c r="H83" s="5" t="s">
        <v>743</v>
      </c>
      <c r="I83" s="5" t="s">
        <v>24</v>
      </c>
      <c r="J83" s="5" t="s">
        <v>744</v>
      </c>
      <c r="K83" s="5" t="s">
        <v>230</v>
      </c>
      <c r="L83" s="5" t="s">
        <v>928</v>
      </c>
      <c r="M83" s="5" t="s">
        <v>929</v>
      </c>
      <c r="N83" s="5" t="s">
        <v>759</v>
      </c>
      <c r="O83" s="5" t="s">
        <v>930</v>
      </c>
      <c r="P83" s="5" t="s">
        <v>931</v>
      </c>
      <c r="Q83" s="5" t="s">
        <v>932</v>
      </c>
      <c r="R83" s="5" t="s">
        <v>750</v>
      </c>
      <c r="S83" s="5" t="s">
        <v>933</v>
      </c>
      <c r="T83" s="7" t="s">
        <v>57</v>
      </c>
      <c r="U83" s="7" t="s">
        <v>58</v>
      </c>
    </row>
    <row r="84" ht="70" customHeight="1" spans="1:21">
      <c r="A84" s="4">
        <v>80</v>
      </c>
      <c r="B84" s="5" t="s">
        <v>934</v>
      </c>
      <c r="C84" s="5" t="s">
        <v>935</v>
      </c>
      <c r="D84" s="5" t="s">
        <v>936</v>
      </c>
      <c r="E84" s="5" t="s">
        <v>937</v>
      </c>
      <c r="F84" s="5" t="s">
        <v>938</v>
      </c>
      <c r="G84" s="5" t="s">
        <v>939</v>
      </c>
      <c r="H84" s="5" t="s">
        <v>743</v>
      </c>
      <c r="I84" s="5" t="s">
        <v>24</v>
      </c>
      <c r="J84" s="5" t="s">
        <v>744</v>
      </c>
      <c r="K84" s="5" t="s">
        <v>230</v>
      </c>
      <c r="L84" s="5" t="s">
        <v>940</v>
      </c>
      <c r="M84" s="5" t="s">
        <v>941</v>
      </c>
      <c r="N84" s="5" t="s">
        <v>759</v>
      </c>
      <c r="O84" s="5" t="s">
        <v>942</v>
      </c>
      <c r="P84" s="5" t="s">
        <v>943</v>
      </c>
      <c r="Q84" s="5" t="s">
        <v>944</v>
      </c>
      <c r="R84" s="5" t="s">
        <v>750</v>
      </c>
      <c r="S84" s="5" t="s">
        <v>75</v>
      </c>
      <c r="T84" s="7" t="s">
        <v>57</v>
      </c>
      <c r="U84" s="7" t="s">
        <v>58</v>
      </c>
    </row>
    <row r="85" ht="70" customHeight="1" spans="1:21">
      <c r="A85" s="4">
        <v>81</v>
      </c>
      <c r="B85" s="5" t="s">
        <v>945</v>
      </c>
      <c r="C85" s="5" t="s">
        <v>946</v>
      </c>
      <c r="D85" s="5" t="s">
        <v>947</v>
      </c>
      <c r="E85" s="5" t="s">
        <v>948</v>
      </c>
      <c r="F85" s="5" t="s">
        <v>949</v>
      </c>
      <c r="G85" s="5" t="s">
        <v>950</v>
      </c>
      <c r="H85" s="5" t="s">
        <v>743</v>
      </c>
      <c r="I85" s="5" t="s">
        <v>24</v>
      </c>
      <c r="J85" s="5" t="s">
        <v>744</v>
      </c>
      <c r="K85" s="5" t="s">
        <v>254</v>
      </c>
      <c r="L85" s="5" t="s">
        <v>951</v>
      </c>
      <c r="M85" s="5" t="s">
        <v>952</v>
      </c>
      <c r="N85" s="5" t="s">
        <v>93</v>
      </c>
      <c r="O85" s="5" t="s">
        <v>953</v>
      </c>
      <c r="P85" s="5" t="s">
        <v>954</v>
      </c>
      <c r="Q85" s="5" t="s">
        <v>955</v>
      </c>
      <c r="R85" s="5" t="s">
        <v>956</v>
      </c>
      <c r="S85" s="5" t="s">
        <v>957</v>
      </c>
      <c r="T85" s="7" t="s">
        <v>57</v>
      </c>
      <c r="U85" s="7" t="s">
        <v>58</v>
      </c>
    </row>
    <row r="86" ht="70" customHeight="1" spans="1:21">
      <c r="A86" s="4">
        <v>82</v>
      </c>
      <c r="B86" s="5" t="s">
        <v>958</v>
      </c>
      <c r="C86" s="5" t="s">
        <v>959</v>
      </c>
      <c r="D86" s="5" t="s">
        <v>960</v>
      </c>
      <c r="E86" s="5" t="s">
        <v>961</v>
      </c>
      <c r="F86" s="5" t="s">
        <v>63</v>
      </c>
      <c r="G86" s="5" t="s">
        <v>962</v>
      </c>
      <c r="H86" s="5" t="s">
        <v>743</v>
      </c>
      <c r="I86" s="5" t="s">
        <v>24</v>
      </c>
      <c r="J86" s="5" t="s">
        <v>744</v>
      </c>
      <c r="K86" s="5" t="s">
        <v>230</v>
      </c>
      <c r="L86" s="5" t="s">
        <v>963</v>
      </c>
      <c r="M86" s="5" t="s">
        <v>964</v>
      </c>
      <c r="N86" s="5" t="s">
        <v>759</v>
      </c>
      <c r="O86" s="5" t="s">
        <v>965</v>
      </c>
      <c r="P86" s="5" t="s">
        <v>966</v>
      </c>
      <c r="Q86" s="5" t="s">
        <v>967</v>
      </c>
      <c r="R86" s="5" t="s">
        <v>750</v>
      </c>
      <c r="S86" s="5" t="s">
        <v>75</v>
      </c>
      <c r="T86" s="7" t="s">
        <v>57</v>
      </c>
      <c r="U86" s="7" t="s">
        <v>58</v>
      </c>
    </row>
    <row r="87" ht="70" customHeight="1" spans="1:21">
      <c r="A87" s="4">
        <v>83</v>
      </c>
      <c r="B87" s="5" t="s">
        <v>968</v>
      </c>
      <c r="C87" s="5" t="s">
        <v>969</v>
      </c>
      <c r="D87" s="5" t="s">
        <v>970</v>
      </c>
      <c r="E87" s="5" t="s">
        <v>971</v>
      </c>
      <c r="F87" s="5" t="s">
        <v>972</v>
      </c>
      <c r="G87" s="5" t="s">
        <v>973</v>
      </c>
      <c r="H87" s="5" t="s">
        <v>743</v>
      </c>
      <c r="I87" s="5" t="s">
        <v>24</v>
      </c>
      <c r="J87" s="5" t="s">
        <v>744</v>
      </c>
      <c r="K87" s="5" t="s">
        <v>230</v>
      </c>
      <c r="L87" s="5" t="s">
        <v>974</v>
      </c>
      <c r="M87" s="5" t="s">
        <v>975</v>
      </c>
      <c r="N87" s="5" t="s">
        <v>759</v>
      </c>
      <c r="O87" s="5" t="s">
        <v>976</v>
      </c>
      <c r="P87" s="5" t="s">
        <v>977</v>
      </c>
      <c r="Q87" s="5" t="s">
        <v>978</v>
      </c>
      <c r="R87" s="5" t="s">
        <v>750</v>
      </c>
      <c r="S87" s="5" t="s">
        <v>979</v>
      </c>
      <c r="T87" s="7" t="s">
        <v>57</v>
      </c>
      <c r="U87" s="7" t="s">
        <v>58</v>
      </c>
    </row>
    <row r="88" ht="70" customHeight="1" spans="1:21">
      <c r="A88" s="4">
        <v>84</v>
      </c>
      <c r="B88" s="5" t="s">
        <v>980</v>
      </c>
      <c r="C88" s="5" t="s">
        <v>981</v>
      </c>
      <c r="D88" s="5" t="s">
        <v>982</v>
      </c>
      <c r="E88" s="5" t="s">
        <v>983</v>
      </c>
      <c r="F88" s="5" t="s">
        <v>63</v>
      </c>
      <c r="G88" s="5" t="s">
        <v>984</v>
      </c>
      <c r="H88" s="5" t="s">
        <v>743</v>
      </c>
      <c r="I88" s="5" t="s">
        <v>24</v>
      </c>
      <c r="J88" s="5" t="s">
        <v>744</v>
      </c>
      <c r="K88" s="5" t="s">
        <v>230</v>
      </c>
      <c r="L88" s="5" t="s">
        <v>985</v>
      </c>
      <c r="M88" s="5" t="s">
        <v>986</v>
      </c>
      <c r="N88" s="5" t="s">
        <v>759</v>
      </c>
      <c r="O88" s="5" t="s">
        <v>987</v>
      </c>
      <c r="P88" s="5" t="s">
        <v>988</v>
      </c>
      <c r="Q88" s="5" t="s">
        <v>989</v>
      </c>
      <c r="R88" s="5" t="s">
        <v>750</v>
      </c>
      <c r="S88" s="5" t="s">
        <v>75</v>
      </c>
      <c r="T88" s="7" t="s">
        <v>57</v>
      </c>
      <c r="U88" s="7" t="s">
        <v>58</v>
      </c>
    </row>
    <row r="89" ht="70" customHeight="1" spans="1:21">
      <c r="A89" s="4">
        <v>85</v>
      </c>
      <c r="B89" s="5" t="s">
        <v>990</v>
      </c>
      <c r="C89" s="5" t="s">
        <v>991</v>
      </c>
      <c r="D89" s="5" t="s">
        <v>992</v>
      </c>
      <c r="E89" s="5" t="s">
        <v>993</v>
      </c>
      <c r="F89" s="5" t="s">
        <v>63</v>
      </c>
      <c r="G89" s="5" t="s">
        <v>994</v>
      </c>
      <c r="H89" s="5" t="s">
        <v>743</v>
      </c>
      <c r="I89" s="5" t="s">
        <v>24</v>
      </c>
      <c r="J89" s="5" t="s">
        <v>744</v>
      </c>
      <c r="K89" s="5" t="s">
        <v>230</v>
      </c>
      <c r="L89" s="5" t="s">
        <v>995</v>
      </c>
      <c r="M89" s="5" t="s">
        <v>996</v>
      </c>
      <c r="N89" s="5" t="s">
        <v>759</v>
      </c>
      <c r="O89" s="5" t="s">
        <v>997</v>
      </c>
      <c r="P89" s="5" t="s">
        <v>998</v>
      </c>
      <c r="Q89" s="5" t="s">
        <v>999</v>
      </c>
      <c r="R89" s="5" t="s">
        <v>750</v>
      </c>
      <c r="S89" s="5" t="s">
        <v>1000</v>
      </c>
      <c r="T89" s="7" t="s">
        <v>57</v>
      </c>
      <c r="U89" s="7" t="s">
        <v>58</v>
      </c>
    </row>
    <row r="90" ht="70" customHeight="1" spans="1:21">
      <c r="A90" s="4">
        <v>86</v>
      </c>
      <c r="B90" s="5" t="s">
        <v>1001</v>
      </c>
      <c r="C90" s="5" t="s">
        <v>1002</v>
      </c>
      <c r="D90" s="5" t="s">
        <v>1003</v>
      </c>
      <c r="E90" s="5" t="s">
        <v>1004</v>
      </c>
      <c r="F90" s="5" t="s">
        <v>63</v>
      </c>
      <c r="G90" s="5" t="s">
        <v>1005</v>
      </c>
      <c r="H90" s="5" t="s">
        <v>743</v>
      </c>
      <c r="I90" s="5" t="s">
        <v>24</v>
      </c>
      <c r="J90" s="5" t="s">
        <v>744</v>
      </c>
      <c r="K90" s="5" t="s">
        <v>230</v>
      </c>
      <c r="L90" s="5" t="s">
        <v>1006</v>
      </c>
      <c r="M90" s="5" t="s">
        <v>1007</v>
      </c>
      <c r="N90" s="5" t="s">
        <v>759</v>
      </c>
      <c r="O90" s="5" t="s">
        <v>1008</v>
      </c>
      <c r="P90" s="5" t="s">
        <v>1009</v>
      </c>
      <c r="Q90" s="5" t="s">
        <v>1010</v>
      </c>
      <c r="R90" s="5" t="s">
        <v>750</v>
      </c>
      <c r="S90" s="5" t="s">
        <v>75</v>
      </c>
      <c r="T90" s="7" t="s">
        <v>57</v>
      </c>
      <c r="U90" s="7" t="s">
        <v>58</v>
      </c>
    </row>
    <row r="91" ht="70" customHeight="1" spans="1:21">
      <c r="A91" s="4">
        <v>87</v>
      </c>
      <c r="B91" s="5" t="s">
        <v>1011</v>
      </c>
      <c r="C91" s="5" t="s">
        <v>1012</v>
      </c>
      <c r="D91" s="5" t="s">
        <v>61</v>
      </c>
      <c r="E91" s="5" t="s">
        <v>1013</v>
      </c>
      <c r="F91" s="5" t="s">
        <v>63</v>
      </c>
      <c r="G91" s="5" t="s">
        <v>1014</v>
      </c>
      <c r="H91" s="5" t="s">
        <v>1015</v>
      </c>
      <c r="I91" s="5" t="s">
        <v>24</v>
      </c>
      <c r="J91" s="5" t="s">
        <v>1016</v>
      </c>
      <c r="K91" s="5" t="s">
        <v>254</v>
      </c>
      <c r="L91" s="5" t="s">
        <v>1017</v>
      </c>
      <c r="M91" s="5" t="s">
        <v>1018</v>
      </c>
      <c r="N91" s="5" t="s">
        <v>759</v>
      </c>
      <c r="O91" s="5" t="s">
        <v>1019</v>
      </c>
      <c r="P91" s="5" t="s">
        <v>1020</v>
      </c>
      <c r="Q91" s="5" t="s">
        <v>1021</v>
      </c>
      <c r="R91" s="5" t="s">
        <v>750</v>
      </c>
      <c r="S91" s="5" t="s">
        <v>75</v>
      </c>
      <c r="T91" s="7" t="s">
        <v>57</v>
      </c>
      <c r="U91" s="7" t="s">
        <v>58</v>
      </c>
    </row>
    <row r="92" ht="70" customHeight="1" spans="1:21">
      <c r="A92" s="4">
        <v>88</v>
      </c>
      <c r="B92" s="5" t="s">
        <v>1022</v>
      </c>
      <c r="C92" s="5" t="s">
        <v>1023</v>
      </c>
      <c r="D92" s="5" t="s">
        <v>1024</v>
      </c>
      <c r="E92" s="5" t="s">
        <v>1025</v>
      </c>
      <c r="F92" s="5" t="s">
        <v>63</v>
      </c>
      <c r="G92" s="5" t="s">
        <v>1026</v>
      </c>
      <c r="H92" s="5" t="s">
        <v>1015</v>
      </c>
      <c r="I92" s="5" t="s">
        <v>24</v>
      </c>
      <c r="J92" s="5" t="s">
        <v>1016</v>
      </c>
      <c r="K92" s="5" t="s">
        <v>230</v>
      </c>
      <c r="L92" s="5" t="s">
        <v>1027</v>
      </c>
      <c r="M92" s="5" t="s">
        <v>1028</v>
      </c>
      <c r="N92" s="5" t="s">
        <v>759</v>
      </c>
      <c r="O92" s="5" t="s">
        <v>1029</v>
      </c>
      <c r="P92" s="5" t="s">
        <v>1030</v>
      </c>
      <c r="Q92" s="5" t="s">
        <v>1031</v>
      </c>
      <c r="R92" s="5" t="s">
        <v>750</v>
      </c>
      <c r="S92" s="5" t="s">
        <v>75</v>
      </c>
      <c r="T92" s="7" t="s">
        <v>57</v>
      </c>
      <c r="U92" s="7" t="s">
        <v>58</v>
      </c>
    </row>
    <row r="93" ht="70" customHeight="1" spans="1:21">
      <c r="A93" s="4">
        <v>89</v>
      </c>
      <c r="B93" s="5" t="s">
        <v>1032</v>
      </c>
      <c r="C93" s="5" t="s">
        <v>1033</v>
      </c>
      <c r="D93" s="5" t="s">
        <v>1034</v>
      </c>
      <c r="E93" s="5" t="s">
        <v>1035</v>
      </c>
      <c r="F93" s="5" t="s">
        <v>63</v>
      </c>
      <c r="G93" s="5" t="s">
        <v>1036</v>
      </c>
      <c r="H93" s="5" t="s">
        <v>1015</v>
      </c>
      <c r="I93" s="5" t="s">
        <v>24</v>
      </c>
      <c r="J93" s="5" t="s">
        <v>1016</v>
      </c>
      <c r="K93" s="5" t="s">
        <v>254</v>
      </c>
      <c r="L93" s="5" t="s">
        <v>1037</v>
      </c>
      <c r="M93" s="5" t="s">
        <v>1038</v>
      </c>
      <c r="N93" s="5" t="s">
        <v>759</v>
      </c>
      <c r="O93" s="5" t="s">
        <v>1039</v>
      </c>
      <c r="P93" s="5" t="s">
        <v>1040</v>
      </c>
      <c r="Q93" s="5" t="s">
        <v>1041</v>
      </c>
      <c r="R93" s="5" t="s">
        <v>750</v>
      </c>
      <c r="S93" s="5" t="s">
        <v>75</v>
      </c>
      <c r="T93" s="7" t="s">
        <v>57</v>
      </c>
      <c r="U93" s="7" t="s">
        <v>58</v>
      </c>
    </row>
    <row r="94" ht="70" customHeight="1" spans="1:21">
      <c r="A94" s="4">
        <v>90</v>
      </c>
      <c r="B94" s="5" t="s">
        <v>1042</v>
      </c>
      <c r="C94" s="5" t="s">
        <v>1043</v>
      </c>
      <c r="D94" s="5" t="s">
        <v>61</v>
      </c>
      <c r="E94" s="5" t="s">
        <v>1044</v>
      </c>
      <c r="F94" s="5" t="s">
        <v>63</v>
      </c>
      <c r="G94" s="5" t="s">
        <v>1045</v>
      </c>
      <c r="H94" s="5" t="s">
        <v>1015</v>
      </c>
      <c r="I94" s="5" t="s">
        <v>24</v>
      </c>
      <c r="J94" s="5" t="s">
        <v>1016</v>
      </c>
      <c r="K94" s="5" t="s">
        <v>254</v>
      </c>
      <c r="L94" s="5" t="s">
        <v>1046</v>
      </c>
      <c r="M94" s="5" t="s">
        <v>1047</v>
      </c>
      <c r="N94" s="5" t="s">
        <v>759</v>
      </c>
      <c r="O94" s="5" t="s">
        <v>1048</v>
      </c>
      <c r="P94" s="5" t="s">
        <v>1049</v>
      </c>
      <c r="Q94" s="5" t="s">
        <v>1050</v>
      </c>
      <c r="R94" s="5" t="s">
        <v>750</v>
      </c>
      <c r="S94" s="5" t="s">
        <v>1051</v>
      </c>
      <c r="T94" s="7" t="s">
        <v>57</v>
      </c>
      <c r="U94" s="7" t="s">
        <v>58</v>
      </c>
    </row>
    <row r="95" ht="70" customHeight="1" spans="1:21">
      <c r="A95" s="4">
        <v>91</v>
      </c>
      <c r="B95" s="5" t="s">
        <v>1052</v>
      </c>
      <c r="C95" s="5" t="s">
        <v>1053</v>
      </c>
      <c r="D95" s="5" t="s">
        <v>1054</v>
      </c>
      <c r="E95" s="5" t="s">
        <v>1055</v>
      </c>
      <c r="F95" s="5" t="s">
        <v>63</v>
      </c>
      <c r="G95" s="5" t="s">
        <v>1056</v>
      </c>
      <c r="H95" s="5" t="s">
        <v>1015</v>
      </c>
      <c r="I95" s="5" t="s">
        <v>24</v>
      </c>
      <c r="J95" s="5" t="s">
        <v>1016</v>
      </c>
      <c r="K95" s="5" t="s">
        <v>254</v>
      </c>
      <c r="L95" s="5" t="s">
        <v>1057</v>
      </c>
      <c r="M95" s="5" t="s">
        <v>1058</v>
      </c>
      <c r="N95" s="5" t="s">
        <v>759</v>
      </c>
      <c r="O95" s="5" t="s">
        <v>803</v>
      </c>
      <c r="P95" s="5" t="s">
        <v>1059</v>
      </c>
      <c r="Q95" s="5" t="s">
        <v>1060</v>
      </c>
      <c r="R95" s="5" t="s">
        <v>750</v>
      </c>
      <c r="S95" s="5" t="s">
        <v>75</v>
      </c>
      <c r="T95" s="7" t="s">
        <v>57</v>
      </c>
      <c r="U95" s="7" t="s">
        <v>58</v>
      </c>
    </row>
    <row r="96" ht="70" customHeight="1" spans="1:21">
      <c r="A96" s="4">
        <v>92</v>
      </c>
      <c r="B96" s="5" t="s">
        <v>1061</v>
      </c>
      <c r="C96" s="5" t="s">
        <v>1062</v>
      </c>
      <c r="D96" s="5" t="s">
        <v>61</v>
      </c>
      <c r="E96" s="5" t="s">
        <v>1063</v>
      </c>
      <c r="F96" s="5" t="s">
        <v>63</v>
      </c>
      <c r="G96" s="5" t="s">
        <v>1064</v>
      </c>
      <c r="H96" s="5" t="s">
        <v>1015</v>
      </c>
      <c r="I96" s="5" t="s">
        <v>24</v>
      </c>
      <c r="J96" s="5" t="s">
        <v>1016</v>
      </c>
      <c r="K96" s="5" t="s">
        <v>254</v>
      </c>
      <c r="L96" s="5" t="s">
        <v>1065</v>
      </c>
      <c r="M96" s="5" t="s">
        <v>1066</v>
      </c>
      <c r="N96" s="5" t="s">
        <v>759</v>
      </c>
      <c r="O96" s="5" t="s">
        <v>1067</v>
      </c>
      <c r="P96" s="5" t="s">
        <v>1068</v>
      </c>
      <c r="Q96" s="5" t="s">
        <v>1069</v>
      </c>
      <c r="R96" s="5" t="s">
        <v>750</v>
      </c>
      <c r="S96" s="5" t="s">
        <v>75</v>
      </c>
      <c r="T96" s="7" t="s">
        <v>57</v>
      </c>
      <c r="U96" s="7" t="s">
        <v>58</v>
      </c>
    </row>
    <row r="97" ht="70" customHeight="1" spans="1:21">
      <c r="A97" s="4">
        <v>93</v>
      </c>
      <c r="B97" s="5" t="s">
        <v>1070</v>
      </c>
      <c r="C97" s="5" t="s">
        <v>1071</v>
      </c>
      <c r="D97" s="5" t="s">
        <v>1072</v>
      </c>
      <c r="E97" s="5" t="s">
        <v>1073</v>
      </c>
      <c r="F97" s="5" t="s">
        <v>63</v>
      </c>
      <c r="G97" s="5" t="s">
        <v>1074</v>
      </c>
      <c r="H97" s="5" t="s">
        <v>1015</v>
      </c>
      <c r="I97" s="5" t="s">
        <v>24</v>
      </c>
      <c r="J97" s="5" t="s">
        <v>1016</v>
      </c>
      <c r="K97" s="5" t="s">
        <v>254</v>
      </c>
      <c r="L97" s="5" t="s">
        <v>1075</v>
      </c>
      <c r="M97" s="5" t="s">
        <v>1076</v>
      </c>
      <c r="N97" s="5" t="s">
        <v>759</v>
      </c>
      <c r="O97" s="5" t="s">
        <v>803</v>
      </c>
      <c r="P97" s="5" t="s">
        <v>1077</v>
      </c>
      <c r="Q97" s="5" t="s">
        <v>1078</v>
      </c>
      <c r="R97" s="5" t="s">
        <v>750</v>
      </c>
      <c r="S97" s="5" t="s">
        <v>1079</v>
      </c>
      <c r="T97" s="7" t="s">
        <v>57</v>
      </c>
      <c r="U97" s="7" t="s">
        <v>58</v>
      </c>
    </row>
    <row r="98" ht="70" customHeight="1" spans="1:21">
      <c r="A98" s="4">
        <v>94</v>
      </c>
      <c r="B98" s="5" t="s">
        <v>1080</v>
      </c>
      <c r="C98" s="5" t="s">
        <v>1081</v>
      </c>
      <c r="D98" s="5" t="s">
        <v>61</v>
      </c>
      <c r="E98" s="5" t="s">
        <v>1082</v>
      </c>
      <c r="F98" s="5" t="s">
        <v>63</v>
      </c>
      <c r="G98" s="5" t="s">
        <v>1083</v>
      </c>
      <c r="H98" s="5" t="s">
        <v>1015</v>
      </c>
      <c r="I98" s="5" t="s">
        <v>24</v>
      </c>
      <c r="J98" s="5" t="s">
        <v>1016</v>
      </c>
      <c r="K98" s="5" t="s">
        <v>254</v>
      </c>
      <c r="L98" s="5" t="s">
        <v>1084</v>
      </c>
      <c r="M98" s="5" t="s">
        <v>1085</v>
      </c>
      <c r="N98" s="5" t="s">
        <v>759</v>
      </c>
      <c r="O98" s="5" t="s">
        <v>803</v>
      </c>
      <c r="P98" s="5" t="s">
        <v>1086</v>
      </c>
      <c r="Q98" s="5" t="s">
        <v>1087</v>
      </c>
      <c r="R98" s="5" t="s">
        <v>750</v>
      </c>
      <c r="S98" s="5" t="s">
        <v>75</v>
      </c>
      <c r="T98" s="7" t="s">
        <v>57</v>
      </c>
      <c r="U98" s="7" t="s">
        <v>58</v>
      </c>
    </row>
    <row r="99" ht="70" customHeight="1" spans="1:21">
      <c r="A99" s="4">
        <v>95</v>
      </c>
      <c r="B99" s="5" t="s">
        <v>1088</v>
      </c>
      <c r="C99" s="5" t="s">
        <v>1089</v>
      </c>
      <c r="D99" s="5" t="s">
        <v>61</v>
      </c>
      <c r="E99" s="5" t="s">
        <v>1090</v>
      </c>
      <c r="F99" s="5" t="s">
        <v>63</v>
      </c>
      <c r="G99" s="5" t="s">
        <v>1091</v>
      </c>
      <c r="H99" s="5" t="s">
        <v>1015</v>
      </c>
      <c r="I99" s="5" t="s">
        <v>24</v>
      </c>
      <c r="J99" s="5" t="s">
        <v>1016</v>
      </c>
      <c r="K99" s="5" t="s">
        <v>254</v>
      </c>
      <c r="L99" s="5" t="s">
        <v>1092</v>
      </c>
      <c r="M99" s="5" t="s">
        <v>1093</v>
      </c>
      <c r="N99" s="5" t="s">
        <v>759</v>
      </c>
      <c r="O99" s="5" t="s">
        <v>1094</v>
      </c>
      <c r="P99" s="5" t="s">
        <v>1095</v>
      </c>
      <c r="Q99" s="5" t="s">
        <v>1096</v>
      </c>
      <c r="R99" s="5" t="s">
        <v>750</v>
      </c>
      <c r="S99" s="5" t="s">
        <v>1097</v>
      </c>
      <c r="T99" s="7" t="s">
        <v>57</v>
      </c>
      <c r="U99" s="7" t="s">
        <v>58</v>
      </c>
    </row>
    <row r="100" ht="70" customHeight="1" spans="1:21">
      <c r="A100" s="4">
        <v>96</v>
      </c>
      <c r="B100" s="5" t="s">
        <v>1098</v>
      </c>
      <c r="C100" s="5" t="s">
        <v>1099</v>
      </c>
      <c r="D100" s="5" t="s">
        <v>1100</v>
      </c>
      <c r="E100" s="5" t="s">
        <v>1101</v>
      </c>
      <c r="F100" s="5" t="s">
        <v>63</v>
      </c>
      <c r="G100" s="5" t="s">
        <v>1102</v>
      </c>
      <c r="H100" s="5" t="s">
        <v>1015</v>
      </c>
      <c r="I100" s="5" t="s">
        <v>24</v>
      </c>
      <c r="J100" s="5" t="s">
        <v>1016</v>
      </c>
      <c r="K100" s="5" t="s">
        <v>230</v>
      </c>
      <c r="L100" s="5" t="s">
        <v>1103</v>
      </c>
      <c r="M100" s="5" t="s">
        <v>1104</v>
      </c>
      <c r="N100" s="5" t="s">
        <v>759</v>
      </c>
      <c r="O100" s="5" t="s">
        <v>803</v>
      </c>
      <c r="P100" s="5" t="s">
        <v>1105</v>
      </c>
      <c r="Q100" s="5" t="s">
        <v>1106</v>
      </c>
      <c r="R100" s="5" t="s">
        <v>750</v>
      </c>
      <c r="S100" s="5" t="s">
        <v>75</v>
      </c>
      <c r="T100" s="7" t="s">
        <v>57</v>
      </c>
      <c r="U100" s="7" t="s">
        <v>58</v>
      </c>
    </row>
    <row r="101" ht="70" customHeight="1" spans="1:21">
      <c r="A101" s="4">
        <v>97</v>
      </c>
      <c r="B101" s="5" t="s">
        <v>1107</v>
      </c>
      <c r="C101" s="5" t="s">
        <v>1108</v>
      </c>
      <c r="D101" s="5" t="s">
        <v>1109</v>
      </c>
      <c r="E101" s="5" t="s">
        <v>1110</v>
      </c>
      <c r="F101" s="5" t="s">
        <v>1111</v>
      </c>
      <c r="G101" s="5" t="s">
        <v>1112</v>
      </c>
      <c r="H101" s="5" t="s">
        <v>1015</v>
      </c>
      <c r="I101" s="5" t="s">
        <v>24</v>
      </c>
      <c r="J101" s="5" t="s">
        <v>1016</v>
      </c>
      <c r="K101" s="5" t="s">
        <v>254</v>
      </c>
      <c r="L101" s="5" t="s">
        <v>1113</v>
      </c>
      <c r="M101" s="5" t="s">
        <v>1114</v>
      </c>
      <c r="N101" s="5" t="s">
        <v>759</v>
      </c>
      <c r="O101" s="5" t="s">
        <v>1115</v>
      </c>
      <c r="P101" s="5" t="s">
        <v>1116</v>
      </c>
      <c r="Q101" s="5" t="s">
        <v>1117</v>
      </c>
      <c r="R101" s="5" t="s">
        <v>750</v>
      </c>
      <c r="S101" s="5" t="s">
        <v>1118</v>
      </c>
      <c r="T101" s="7" t="s">
        <v>57</v>
      </c>
      <c r="U101" s="7" t="s">
        <v>58</v>
      </c>
    </row>
    <row r="102" ht="70" customHeight="1" spans="1:21">
      <c r="A102" s="4">
        <v>98</v>
      </c>
      <c r="B102" s="5" t="s">
        <v>1119</v>
      </c>
      <c r="C102" s="5" t="s">
        <v>1120</v>
      </c>
      <c r="D102" s="5" t="s">
        <v>1121</v>
      </c>
      <c r="E102" s="5" t="s">
        <v>1122</v>
      </c>
      <c r="F102" s="5" t="s">
        <v>63</v>
      </c>
      <c r="G102" s="5" t="s">
        <v>1123</v>
      </c>
      <c r="H102" s="5" t="s">
        <v>1015</v>
      </c>
      <c r="I102" s="5" t="s">
        <v>24</v>
      </c>
      <c r="J102" s="5" t="s">
        <v>1016</v>
      </c>
      <c r="K102" s="5" t="s">
        <v>254</v>
      </c>
      <c r="L102" s="5" t="s">
        <v>1124</v>
      </c>
      <c r="M102" s="5" t="s">
        <v>1125</v>
      </c>
      <c r="N102" s="5" t="s">
        <v>759</v>
      </c>
      <c r="O102" s="5" t="s">
        <v>803</v>
      </c>
      <c r="P102" s="5" t="s">
        <v>1126</v>
      </c>
      <c r="Q102" s="5" t="s">
        <v>1127</v>
      </c>
      <c r="R102" s="5" t="s">
        <v>750</v>
      </c>
      <c r="S102" s="5" t="s">
        <v>1128</v>
      </c>
      <c r="T102" s="7" t="s">
        <v>57</v>
      </c>
      <c r="U102" s="7" t="s">
        <v>58</v>
      </c>
    </row>
    <row r="103" ht="70" customHeight="1" spans="1:21">
      <c r="A103" s="4">
        <v>99</v>
      </c>
      <c r="B103" s="5" t="s">
        <v>1129</v>
      </c>
      <c r="C103" s="5" t="s">
        <v>1130</v>
      </c>
      <c r="D103" s="5" t="s">
        <v>61</v>
      </c>
      <c r="E103" s="5" t="s">
        <v>1131</v>
      </c>
      <c r="F103" s="5" t="s">
        <v>63</v>
      </c>
      <c r="G103" s="5" t="s">
        <v>1132</v>
      </c>
      <c r="H103" s="5" t="s">
        <v>1015</v>
      </c>
      <c r="I103" s="5" t="s">
        <v>24</v>
      </c>
      <c r="J103" s="5" t="s">
        <v>1016</v>
      </c>
      <c r="K103" s="5" t="s">
        <v>254</v>
      </c>
      <c r="L103" s="5" t="s">
        <v>1133</v>
      </c>
      <c r="M103" s="5" t="s">
        <v>1134</v>
      </c>
      <c r="N103" s="5" t="s">
        <v>759</v>
      </c>
      <c r="O103" s="5" t="s">
        <v>803</v>
      </c>
      <c r="P103" s="5" t="s">
        <v>1135</v>
      </c>
      <c r="Q103" s="5" t="s">
        <v>1136</v>
      </c>
      <c r="R103" s="5" t="s">
        <v>750</v>
      </c>
      <c r="S103" s="5" t="s">
        <v>75</v>
      </c>
      <c r="T103" s="7" t="s">
        <v>57</v>
      </c>
      <c r="U103" s="7" t="s">
        <v>58</v>
      </c>
    </row>
    <row r="104" ht="70" customHeight="1" spans="1:21">
      <c r="A104" s="4">
        <v>100</v>
      </c>
      <c r="B104" s="5" t="s">
        <v>1137</v>
      </c>
      <c r="C104" s="5" t="s">
        <v>1138</v>
      </c>
      <c r="D104" s="5" t="s">
        <v>61</v>
      </c>
      <c r="E104" s="5" t="s">
        <v>1139</v>
      </c>
      <c r="F104" s="5" t="s">
        <v>63</v>
      </c>
      <c r="G104" s="5" t="s">
        <v>1140</v>
      </c>
      <c r="H104" s="5" t="s">
        <v>1015</v>
      </c>
      <c r="I104" s="5" t="s">
        <v>24</v>
      </c>
      <c r="J104" s="5" t="s">
        <v>1016</v>
      </c>
      <c r="K104" s="5" t="s">
        <v>254</v>
      </c>
      <c r="L104" s="5" t="s">
        <v>1141</v>
      </c>
      <c r="M104" s="5" t="s">
        <v>1142</v>
      </c>
      <c r="N104" s="5" t="s">
        <v>759</v>
      </c>
      <c r="O104" s="5" t="s">
        <v>1143</v>
      </c>
      <c r="P104" s="5" t="s">
        <v>1144</v>
      </c>
      <c r="Q104" s="5" t="s">
        <v>1145</v>
      </c>
      <c r="R104" s="5" t="s">
        <v>750</v>
      </c>
      <c r="S104" s="5" t="s">
        <v>75</v>
      </c>
      <c r="T104" s="7" t="s">
        <v>57</v>
      </c>
      <c r="U104" s="7" t="s">
        <v>58</v>
      </c>
    </row>
    <row r="105" ht="70" customHeight="1" spans="1:21">
      <c r="A105" s="4">
        <v>101</v>
      </c>
      <c r="B105" s="5" t="s">
        <v>1146</v>
      </c>
      <c r="C105" s="5" t="s">
        <v>1147</v>
      </c>
      <c r="D105" s="5" t="s">
        <v>1148</v>
      </c>
      <c r="E105" s="5" t="s">
        <v>1149</v>
      </c>
      <c r="F105" s="5" t="s">
        <v>1150</v>
      </c>
      <c r="G105" s="5" t="s">
        <v>1151</v>
      </c>
      <c r="H105" s="5" t="s">
        <v>1015</v>
      </c>
      <c r="I105" s="5" t="s">
        <v>24</v>
      </c>
      <c r="J105" s="5" t="s">
        <v>1016</v>
      </c>
      <c r="K105" s="5" t="s">
        <v>230</v>
      </c>
      <c r="L105" s="5" t="s">
        <v>1152</v>
      </c>
      <c r="M105" s="5" t="s">
        <v>1153</v>
      </c>
      <c r="N105" s="5" t="s">
        <v>759</v>
      </c>
      <c r="O105" s="5" t="s">
        <v>1154</v>
      </c>
      <c r="P105" s="5" t="s">
        <v>1155</v>
      </c>
      <c r="Q105" s="5" t="s">
        <v>1156</v>
      </c>
      <c r="R105" s="5" t="s">
        <v>750</v>
      </c>
      <c r="S105" s="5" t="s">
        <v>1157</v>
      </c>
      <c r="T105" s="7" t="s">
        <v>57</v>
      </c>
      <c r="U105" s="7" t="s">
        <v>58</v>
      </c>
    </row>
    <row r="106" ht="70" customHeight="1" spans="1:21">
      <c r="A106" s="4">
        <v>102</v>
      </c>
      <c r="B106" s="5" t="s">
        <v>1158</v>
      </c>
      <c r="C106" s="5" t="s">
        <v>1159</v>
      </c>
      <c r="D106" s="5" t="s">
        <v>1160</v>
      </c>
      <c r="E106" s="5" t="s">
        <v>1161</v>
      </c>
      <c r="F106" s="5" t="s">
        <v>1162</v>
      </c>
      <c r="G106" s="5" t="s">
        <v>1163</v>
      </c>
      <c r="H106" s="5" t="s">
        <v>1164</v>
      </c>
      <c r="I106" s="5" t="s">
        <v>24</v>
      </c>
      <c r="J106" s="5" t="s">
        <v>1165</v>
      </c>
      <c r="K106" s="5" t="s">
        <v>254</v>
      </c>
      <c r="L106" s="5" t="s">
        <v>1166</v>
      </c>
      <c r="M106" s="5" t="s">
        <v>1167</v>
      </c>
      <c r="N106" s="5" t="s">
        <v>70</v>
      </c>
      <c r="O106" s="5" t="s">
        <v>1168</v>
      </c>
      <c r="P106" s="5" t="s">
        <v>1169</v>
      </c>
      <c r="Q106" s="5" t="s">
        <v>1170</v>
      </c>
      <c r="R106" s="5" t="s">
        <v>775</v>
      </c>
      <c r="S106" s="5" t="s">
        <v>75</v>
      </c>
      <c r="T106" s="7" t="s">
        <v>57</v>
      </c>
      <c r="U106" s="7" t="s">
        <v>58</v>
      </c>
    </row>
    <row r="107" ht="70" customHeight="1" spans="1:21">
      <c r="A107" s="4">
        <v>103</v>
      </c>
      <c r="B107" s="5" t="s">
        <v>1171</v>
      </c>
      <c r="C107" s="5" t="s">
        <v>1172</v>
      </c>
      <c r="D107" s="5" t="s">
        <v>1173</v>
      </c>
      <c r="E107" s="5" t="s">
        <v>1174</v>
      </c>
      <c r="F107" s="5" t="s">
        <v>63</v>
      </c>
      <c r="G107" s="5" t="s">
        <v>1175</v>
      </c>
      <c r="H107" s="5" t="s">
        <v>1164</v>
      </c>
      <c r="I107" s="5" t="s">
        <v>24</v>
      </c>
      <c r="J107" s="5" t="s">
        <v>1165</v>
      </c>
      <c r="K107" s="5" t="s">
        <v>67</v>
      </c>
      <c r="L107" s="5" t="s">
        <v>1176</v>
      </c>
      <c r="M107" s="5" t="s">
        <v>1177</v>
      </c>
      <c r="N107" s="5" t="s">
        <v>70</v>
      </c>
      <c r="O107" s="5" t="s">
        <v>1178</v>
      </c>
      <c r="P107" s="5" t="s">
        <v>1179</v>
      </c>
      <c r="Q107" s="5" t="s">
        <v>1180</v>
      </c>
      <c r="R107" s="5" t="s">
        <v>750</v>
      </c>
      <c r="S107" s="5" t="s">
        <v>75</v>
      </c>
      <c r="T107" s="7" t="s">
        <v>57</v>
      </c>
      <c r="U107" s="7" t="s">
        <v>58</v>
      </c>
    </row>
    <row r="108" ht="70" customHeight="1" spans="1:21">
      <c r="A108" s="4">
        <v>104</v>
      </c>
      <c r="B108" s="5" t="s">
        <v>1181</v>
      </c>
      <c r="C108" s="5" t="s">
        <v>1182</v>
      </c>
      <c r="D108" s="5" t="s">
        <v>1183</v>
      </c>
      <c r="E108" s="5" t="s">
        <v>1184</v>
      </c>
      <c r="F108" s="5" t="s">
        <v>63</v>
      </c>
      <c r="G108" s="5" t="s">
        <v>1185</v>
      </c>
      <c r="H108" s="5" t="s">
        <v>1164</v>
      </c>
      <c r="I108" s="5" t="s">
        <v>24</v>
      </c>
      <c r="J108" s="5" t="s">
        <v>1165</v>
      </c>
      <c r="K108" s="5" t="s">
        <v>67</v>
      </c>
      <c r="L108" s="5" t="s">
        <v>1186</v>
      </c>
      <c r="M108" s="5" t="s">
        <v>1187</v>
      </c>
      <c r="N108" s="5" t="s">
        <v>759</v>
      </c>
      <c r="O108" s="5" t="s">
        <v>1188</v>
      </c>
      <c r="P108" s="5" t="s">
        <v>1189</v>
      </c>
      <c r="Q108" s="5" t="s">
        <v>1190</v>
      </c>
      <c r="R108" s="5" t="s">
        <v>750</v>
      </c>
      <c r="S108" s="5" t="s">
        <v>75</v>
      </c>
      <c r="T108" s="7" t="s">
        <v>57</v>
      </c>
      <c r="U108" s="7" t="s">
        <v>58</v>
      </c>
    </row>
    <row r="109" ht="70" customHeight="1" spans="1:21">
      <c r="A109" s="4">
        <v>105</v>
      </c>
      <c r="B109" s="5" t="s">
        <v>1191</v>
      </c>
      <c r="C109" s="5" t="s">
        <v>1192</v>
      </c>
      <c r="D109" s="5" t="s">
        <v>1193</v>
      </c>
      <c r="E109" s="5" t="s">
        <v>1194</v>
      </c>
      <c r="F109" s="5" t="s">
        <v>63</v>
      </c>
      <c r="G109" s="5" t="s">
        <v>1195</v>
      </c>
      <c r="H109" s="5" t="s">
        <v>1164</v>
      </c>
      <c r="I109" s="5" t="s">
        <v>24</v>
      </c>
      <c r="J109" s="5" t="s">
        <v>1165</v>
      </c>
      <c r="K109" s="5" t="s">
        <v>67</v>
      </c>
      <c r="L109" s="5" t="s">
        <v>1196</v>
      </c>
      <c r="M109" s="5" t="s">
        <v>1197</v>
      </c>
      <c r="N109" s="5" t="s">
        <v>759</v>
      </c>
      <c r="O109" s="5" t="s">
        <v>1198</v>
      </c>
      <c r="P109" s="5" t="s">
        <v>1199</v>
      </c>
      <c r="Q109" s="5" t="s">
        <v>1200</v>
      </c>
      <c r="R109" s="5" t="s">
        <v>750</v>
      </c>
      <c r="S109" s="5" t="s">
        <v>75</v>
      </c>
      <c r="T109" s="7" t="s">
        <v>57</v>
      </c>
      <c r="U109" s="7" t="s">
        <v>58</v>
      </c>
    </row>
    <row r="110" ht="70" customHeight="1" spans="1:21">
      <c r="A110" s="4">
        <v>106</v>
      </c>
      <c r="B110" s="5" t="s">
        <v>1201</v>
      </c>
      <c r="C110" s="5" t="s">
        <v>1202</v>
      </c>
      <c r="D110" s="5" t="s">
        <v>1203</v>
      </c>
      <c r="E110" s="5" t="s">
        <v>1204</v>
      </c>
      <c r="F110" s="5" t="s">
        <v>659</v>
      </c>
      <c r="G110" s="5" t="s">
        <v>1205</v>
      </c>
      <c r="H110" s="5" t="s">
        <v>1164</v>
      </c>
      <c r="I110" s="5" t="s">
        <v>24</v>
      </c>
      <c r="J110" s="5" t="s">
        <v>1165</v>
      </c>
      <c r="K110" s="5" t="s">
        <v>67</v>
      </c>
      <c r="L110" s="5" t="s">
        <v>1206</v>
      </c>
      <c r="M110" s="5" t="s">
        <v>1207</v>
      </c>
      <c r="N110" s="5" t="s">
        <v>70</v>
      </c>
      <c r="O110" s="5" t="s">
        <v>1208</v>
      </c>
      <c r="P110" s="5" t="s">
        <v>1209</v>
      </c>
      <c r="Q110" s="5" t="s">
        <v>1210</v>
      </c>
      <c r="R110" s="5" t="s">
        <v>750</v>
      </c>
      <c r="S110" s="5" t="s">
        <v>1211</v>
      </c>
      <c r="T110" s="7" t="s">
        <v>57</v>
      </c>
      <c r="U110" s="7" t="s">
        <v>58</v>
      </c>
    </row>
    <row r="111" ht="70" customHeight="1" spans="1:21">
      <c r="A111" s="4">
        <v>107</v>
      </c>
      <c r="B111" s="5" t="s">
        <v>1212</v>
      </c>
      <c r="C111" s="5" t="s">
        <v>1213</v>
      </c>
      <c r="D111" s="5" t="s">
        <v>1214</v>
      </c>
      <c r="E111" s="5" t="s">
        <v>1215</v>
      </c>
      <c r="F111" s="5" t="s">
        <v>63</v>
      </c>
      <c r="G111" s="5" t="s">
        <v>1216</v>
      </c>
      <c r="H111" s="5" t="s">
        <v>1164</v>
      </c>
      <c r="I111" s="5" t="s">
        <v>24</v>
      </c>
      <c r="J111" s="5" t="s">
        <v>1165</v>
      </c>
      <c r="K111" s="5" t="s">
        <v>67</v>
      </c>
      <c r="L111" s="5" t="s">
        <v>1217</v>
      </c>
      <c r="M111" s="5" t="s">
        <v>1218</v>
      </c>
      <c r="N111" s="5" t="s">
        <v>759</v>
      </c>
      <c r="O111" s="5" t="s">
        <v>1219</v>
      </c>
      <c r="P111" s="5" t="s">
        <v>1220</v>
      </c>
      <c r="Q111" s="5" t="s">
        <v>1221</v>
      </c>
      <c r="R111" s="5" t="s">
        <v>750</v>
      </c>
      <c r="S111" s="5" t="s">
        <v>1222</v>
      </c>
      <c r="T111" s="7" t="s">
        <v>57</v>
      </c>
      <c r="U111" s="7" t="s">
        <v>58</v>
      </c>
    </row>
    <row r="112" ht="70" customHeight="1" spans="1:21">
      <c r="A112" s="4">
        <v>108</v>
      </c>
      <c r="B112" s="5" t="s">
        <v>1223</v>
      </c>
      <c r="C112" s="5" t="s">
        <v>1224</v>
      </c>
      <c r="D112" s="5" t="s">
        <v>61</v>
      </c>
      <c r="E112" s="5" t="s">
        <v>1225</v>
      </c>
      <c r="F112" s="5" t="s">
        <v>63</v>
      </c>
      <c r="G112" s="5" t="s">
        <v>1226</v>
      </c>
      <c r="H112" s="5" t="s">
        <v>1164</v>
      </c>
      <c r="I112" s="5" t="s">
        <v>24</v>
      </c>
      <c r="J112" s="5" t="s">
        <v>1165</v>
      </c>
      <c r="K112" s="5" t="s">
        <v>67</v>
      </c>
      <c r="L112" s="5" t="s">
        <v>1227</v>
      </c>
      <c r="M112" s="5" t="s">
        <v>1228</v>
      </c>
      <c r="N112" s="5" t="s">
        <v>759</v>
      </c>
      <c r="O112" s="5" t="s">
        <v>1229</v>
      </c>
      <c r="P112" s="5" t="s">
        <v>1230</v>
      </c>
      <c r="Q112" s="5" t="s">
        <v>1231</v>
      </c>
      <c r="R112" s="5" t="s">
        <v>750</v>
      </c>
      <c r="S112" s="5" t="s">
        <v>1232</v>
      </c>
      <c r="T112" s="7" t="s">
        <v>57</v>
      </c>
      <c r="U112" s="7" t="s">
        <v>58</v>
      </c>
    </row>
  </sheetData>
  <mergeCells count="1">
    <mergeCell ref="A2:D2"/>
  </mergeCells>
  <hyperlinks>
    <hyperlink ref="T5" r:id="rId2" display="事件依据"/>
    <hyperlink ref="U5" r:id="rId3" display="资产证明"/>
    <hyperlink ref="T6" r:id="rId4" display="事件依据"/>
    <hyperlink ref="U6" r:id="rId3" display="资产证明"/>
    <hyperlink ref="T7" r:id="rId5" display="事件依据"/>
    <hyperlink ref="U7" r:id="rId5" display="资产证明"/>
    <hyperlink ref="T8" r:id="rId6" display="事件依据"/>
    <hyperlink ref="U8" r:id="rId7" display="资产证明"/>
    <hyperlink ref="T9" r:id="rId8" display="事件依据"/>
    <hyperlink ref="U9" r:id="rId8" display="资产证明"/>
    <hyperlink ref="T10" r:id="rId9" display="事件依据"/>
    <hyperlink ref="U10" r:id="rId9" display="资产证明"/>
    <hyperlink ref="T11" r:id="rId8" display="事件依据"/>
    <hyperlink ref="U11" r:id="rId8" display="资产证明"/>
    <hyperlink ref="T12" r:id="rId10" display="事件依据"/>
    <hyperlink ref="U12" r:id="rId11" display="资产证明"/>
    <hyperlink ref="T13" r:id="rId12" display="事件依据"/>
    <hyperlink ref="U13" r:id="rId13" display="资产证明"/>
    <hyperlink ref="T14" r:id="rId14" display="事件依据"/>
    <hyperlink ref="U14" r:id="rId15" display="资产证明"/>
    <hyperlink ref="T15" r:id="rId16" display="事件依据"/>
    <hyperlink ref="U15" r:id="rId17" display="资产证明"/>
    <hyperlink ref="T16" r:id="rId18" display="事件依据"/>
    <hyperlink ref="U16" r:id="rId19" display="资产证明"/>
    <hyperlink ref="T17" r:id="rId20" display="事件依据"/>
    <hyperlink ref="U17" r:id="rId20" display="资产证明"/>
    <hyperlink ref="T18" r:id="rId21" display="事件依据"/>
    <hyperlink ref="U18" r:id="rId21" display="资产证明"/>
    <hyperlink ref="T19" r:id="rId22" display="事件依据"/>
    <hyperlink ref="U19" r:id="rId22" display="资产证明"/>
    <hyperlink ref="T20" r:id="rId23" display="事件依据"/>
    <hyperlink ref="U20" r:id="rId23" display="资产证明"/>
    <hyperlink ref="T21" r:id="rId24" display="事件依据"/>
    <hyperlink ref="U21" r:id="rId24" display="资产证明"/>
    <hyperlink ref="T22" r:id="rId25" display="事件依据"/>
    <hyperlink ref="U22" r:id="rId25" display="资产证明"/>
    <hyperlink ref="T23" r:id="rId26" display="事件依据"/>
    <hyperlink ref="U23" r:id="rId27" display="资产证明"/>
    <hyperlink ref="T24" r:id="rId28" display="事件依据"/>
    <hyperlink ref="U24" r:id="rId29" display="资产证明"/>
    <hyperlink ref="T25" r:id="rId30" display="事件依据"/>
    <hyperlink ref="U25" r:id="rId31" display="资产证明"/>
    <hyperlink ref="T26" r:id="rId32" display="事件依据"/>
    <hyperlink ref="U26" r:id="rId33" display="资产证明"/>
    <hyperlink ref="T27" r:id="rId34" display="事件依据"/>
    <hyperlink ref="U27" r:id="rId35" display="资产证明"/>
    <hyperlink ref="T28" r:id="rId36" display="事件依据"/>
    <hyperlink ref="U28" r:id="rId37" display="资产证明"/>
    <hyperlink ref="T29" r:id="rId38" display="事件依据"/>
    <hyperlink ref="U29" r:id="rId39" display="资产证明"/>
    <hyperlink ref="T30" r:id="rId40" display="事件依据"/>
    <hyperlink ref="U30" r:id="rId40" display="资产证明"/>
    <hyperlink ref="T31" r:id="rId41" display="事件依据"/>
    <hyperlink ref="U31" r:id="rId41" display="资产证明"/>
    <hyperlink ref="T32" r:id="rId42" display="事件依据"/>
    <hyperlink ref="U32" r:id="rId42" display="资产证明"/>
    <hyperlink ref="T33" r:id="rId43" display="事件依据"/>
    <hyperlink ref="U33" r:id="rId43" display="资产证明"/>
    <hyperlink ref="T34" r:id="rId44" display="事件依据"/>
    <hyperlink ref="U34" r:id="rId45" display="资产证明"/>
    <hyperlink ref="T35" r:id="rId46" display="事件依据"/>
    <hyperlink ref="U35" r:id="rId47" display="资产证明"/>
    <hyperlink ref="T36" r:id="rId48" display="事件依据"/>
    <hyperlink ref="U36" r:id="rId49" display="资产证明"/>
    <hyperlink ref="T37" r:id="rId50" display="事件依据"/>
    <hyperlink ref="U37" r:id="rId50" display="资产证明"/>
    <hyperlink ref="T38" r:id="rId51" display="事件依据"/>
    <hyperlink ref="U38" r:id="rId52" display="资产证明"/>
    <hyperlink ref="T39" r:id="rId53" display="事件依据"/>
    <hyperlink ref="U39" r:id="rId53" display="资产证明"/>
    <hyperlink ref="T40" r:id="rId54" display="事件依据"/>
    <hyperlink ref="U40" r:id="rId54" display="资产证明"/>
    <hyperlink ref="T41" r:id="rId55" display="事件依据"/>
    <hyperlink ref="U41" r:id="rId55" display="资产证明"/>
    <hyperlink ref="T42" r:id="rId56" display="事件依据"/>
    <hyperlink ref="U42" r:id="rId45" display="资产证明"/>
    <hyperlink ref="T43" r:id="rId57" display="事件依据"/>
    <hyperlink ref="U43" r:id="rId57" display="资产证明"/>
    <hyperlink ref="T44" r:id="rId58" display="事件依据"/>
    <hyperlink ref="U44" r:id="rId59" display="资产证明"/>
    <hyperlink ref="T45" r:id="rId60" display="事件依据"/>
    <hyperlink ref="U45" r:id="rId61" display="资产证明"/>
    <hyperlink ref="T46" r:id="rId62" display="事件依据"/>
    <hyperlink ref="U46" r:id="rId62" display="资产证明"/>
    <hyperlink ref="T47" r:id="rId63" display="事件依据"/>
    <hyperlink ref="U47" r:id="rId45" display="资产证明"/>
    <hyperlink ref="T48" r:id="rId64" display="事件依据"/>
    <hyperlink ref="U48" r:id="rId65" display="资产证明"/>
    <hyperlink ref="T49" r:id="rId66" display="事件依据"/>
    <hyperlink ref="U49" r:id="rId67" display="资产证明"/>
    <hyperlink ref="T50" r:id="rId68" display="事件依据"/>
    <hyperlink ref="U50" r:id="rId68" display="资产证明"/>
    <hyperlink ref="T51" r:id="rId69" display="事件依据"/>
    <hyperlink ref="U51" r:id="rId69" display="资产证明"/>
    <hyperlink ref="T52" r:id="rId70" display="事件依据"/>
    <hyperlink ref="U52" r:id="rId71" display="资产证明"/>
    <hyperlink ref="T53" r:id="rId72" display="事件依据"/>
    <hyperlink ref="U53" r:id="rId73" display="资产证明"/>
    <hyperlink ref="T54" r:id="rId74" display="事件依据"/>
    <hyperlink ref="U54" r:id="rId74" display="资产证明"/>
    <hyperlink ref="T55" r:id="rId75" display="事件依据"/>
    <hyperlink ref="U55" r:id="rId76" display="资产证明"/>
    <hyperlink ref="T56" r:id="rId77" display="事件依据"/>
    <hyperlink ref="U56" r:id="rId77" display="资产证明"/>
    <hyperlink ref="T57" r:id="rId78" display="事件依据"/>
    <hyperlink ref="U57" r:id="rId78" display="资产证明"/>
    <hyperlink ref="T58" r:id="rId79" display="事件依据"/>
    <hyperlink ref="U58" r:id="rId80" display="资产证明"/>
    <hyperlink ref="T59" r:id="rId81" display="事件依据"/>
    <hyperlink ref="U59" r:id="rId82" display="资产证明"/>
    <hyperlink ref="T60" r:id="rId83" display="事件依据"/>
    <hyperlink ref="U60" r:id="rId84" display="资产证明"/>
    <hyperlink ref="T61" r:id="rId85" display="事件依据"/>
    <hyperlink ref="U61" r:id="rId85" display="资产证明"/>
    <hyperlink ref="T62" r:id="rId86" display="事件依据"/>
    <hyperlink ref="U62" r:id="rId86" display="资产证明"/>
    <hyperlink ref="T63" r:id="rId87" display="事件依据"/>
    <hyperlink ref="U63" r:id="rId88" display="资产证明"/>
    <hyperlink ref="T64" r:id="rId89" display="事件依据"/>
    <hyperlink ref="U64" r:id="rId89" display="资产证明"/>
    <hyperlink ref="T65" r:id="rId90" display="事件依据"/>
    <hyperlink ref="U65" r:id="rId91" display="资产证明"/>
    <hyperlink ref="T66" r:id="rId92" display="事件依据"/>
    <hyperlink ref="U66" r:id="rId3" display="资产证明"/>
    <hyperlink ref="T67" r:id="rId93" display="事件依据"/>
    <hyperlink ref="U67" r:id="rId93" display="资产证明"/>
    <hyperlink ref="T68" r:id="rId94" display="事件依据"/>
    <hyperlink ref="U68" r:id="rId94" display="资产证明"/>
    <hyperlink ref="T69" r:id="rId95" display="事件依据"/>
    <hyperlink ref="U69" r:id="rId95" display="资产证明"/>
    <hyperlink ref="T70" r:id="rId96" display="事件依据"/>
    <hyperlink ref="U70" r:id="rId97" display="资产证明"/>
    <hyperlink ref="T71" r:id="rId98" display="事件依据"/>
    <hyperlink ref="U71" r:id="rId3" display="资产证明"/>
    <hyperlink ref="T72" r:id="rId99" display="事件依据"/>
    <hyperlink ref="U72" r:id="rId99" display="资产证明"/>
    <hyperlink ref="T73" r:id="rId100" display="事件依据"/>
    <hyperlink ref="U73" r:id="rId100" display="资产证明"/>
    <hyperlink ref="T74" r:id="rId101" display="事件依据"/>
    <hyperlink ref="U74" r:id="rId102" display="资产证明"/>
    <hyperlink ref="T75" r:id="rId103" display="事件依据"/>
    <hyperlink ref="U75" r:id="rId11" display="资产证明"/>
    <hyperlink ref="T76" r:id="rId104" display="事件依据"/>
    <hyperlink ref="U76" r:id="rId104" display="资产证明"/>
    <hyperlink ref="T77" r:id="rId105" display="事件依据"/>
    <hyperlink ref="U77" r:id="rId45" display="资产证明"/>
    <hyperlink ref="T78" r:id="rId106" display="事件依据"/>
    <hyperlink ref="U78" r:id="rId106" display="资产证明"/>
    <hyperlink ref="T79" r:id="rId107" display="事件依据"/>
    <hyperlink ref="U79" r:id="rId52" display="资产证明"/>
    <hyperlink ref="T80" r:id="rId108" display="事件依据"/>
    <hyperlink ref="U80" r:id="rId108" display="资产证明"/>
    <hyperlink ref="T81" r:id="rId109" display="事件依据"/>
    <hyperlink ref="U81" r:id="rId110" display="资产证明"/>
    <hyperlink ref="T82" r:id="rId111" display="事件依据"/>
    <hyperlink ref="U82" r:id="rId11" display="资产证明"/>
    <hyperlink ref="T83" r:id="rId112" display="事件依据"/>
    <hyperlink ref="U83" r:id="rId113" display="资产证明"/>
    <hyperlink ref="T84" r:id="rId114" display="事件依据"/>
    <hyperlink ref="U84" r:id="rId115" display="资产证明"/>
    <hyperlink ref="T85" r:id="rId116" display="事件依据"/>
    <hyperlink ref="U85" r:id="rId117" display="资产证明"/>
    <hyperlink ref="T86" r:id="rId118" display="事件依据"/>
    <hyperlink ref="U86" r:id="rId11" display="资产证明"/>
    <hyperlink ref="T87" r:id="rId119" display="事件依据"/>
    <hyperlink ref="U87" r:id="rId119" display="资产证明"/>
    <hyperlink ref="T88" r:id="rId120" display="事件依据"/>
    <hyperlink ref="U88" r:id="rId120" display="资产证明"/>
    <hyperlink ref="T89" r:id="rId121" display="事件依据"/>
    <hyperlink ref="U89" r:id="rId11" display="资产证明"/>
    <hyperlink ref="T90" r:id="rId122" display="事件依据"/>
    <hyperlink ref="U90" r:id="rId122" display="资产证明"/>
    <hyperlink ref="T91" r:id="rId123" display="事件依据"/>
    <hyperlink ref="U91" r:id="rId3" display="资产证明"/>
    <hyperlink ref="T92" r:id="rId124" display="事件依据"/>
    <hyperlink ref="U92" r:id="rId3" display="资产证明"/>
    <hyperlink ref="T93" r:id="rId125" display="事件依据"/>
    <hyperlink ref="U93" r:id="rId3" display="资产证明"/>
    <hyperlink ref="T94" r:id="rId126" display="事件依据"/>
    <hyperlink ref="U94" r:id="rId3" display="资产证明"/>
    <hyperlink ref="T95" r:id="rId127" display="事件依据"/>
    <hyperlink ref="U95" r:id="rId3" display="资产证明"/>
    <hyperlink ref="T96" r:id="rId128" display="事件依据"/>
    <hyperlink ref="U96" r:id="rId3" display="资产证明"/>
    <hyperlink ref="T97" r:id="rId129" display="事件依据"/>
    <hyperlink ref="U97" r:id="rId3" display="资产证明"/>
    <hyperlink ref="T98" r:id="rId130" display="事件依据"/>
    <hyperlink ref="U98" r:id="rId3" display="资产证明"/>
    <hyperlink ref="T99" r:id="rId131" display="事件依据"/>
    <hyperlink ref="U99" r:id="rId3" display="资产证明"/>
    <hyperlink ref="T100" r:id="rId132" display="事件依据"/>
    <hyperlink ref="U100" r:id="rId132" display="资产证明"/>
    <hyperlink ref="T101" r:id="rId133" display="事件依据"/>
    <hyperlink ref="U101" r:id="rId134" display="资产证明"/>
    <hyperlink ref="T102" r:id="rId135" display="事件依据"/>
    <hyperlink ref="U102" r:id="rId3" display="资产证明"/>
    <hyperlink ref="T103" r:id="rId136" display="事件依据"/>
    <hyperlink ref="U103" r:id="rId3" display="资产证明"/>
    <hyperlink ref="T104" r:id="rId137" display="事件依据"/>
    <hyperlink ref="U104" r:id="rId3" display="资产证明"/>
    <hyperlink ref="T105" r:id="rId138" display="事件依据"/>
    <hyperlink ref="U105" r:id="rId138" display="资产证明"/>
    <hyperlink ref="T106" r:id="rId139" display="事件依据"/>
    <hyperlink ref="U106" r:id="rId139" display="资产证明"/>
    <hyperlink ref="T107" r:id="rId140" display="事件依据"/>
    <hyperlink ref="U107" r:id="rId3" display="资产证明"/>
    <hyperlink ref="T108" r:id="rId141" display="事件依据"/>
    <hyperlink ref="U108" r:id="rId141" display="资产证明"/>
    <hyperlink ref="T109" r:id="rId142" display="事件依据"/>
    <hyperlink ref="U109" r:id="rId143" display="资产证明"/>
    <hyperlink ref="T110" r:id="rId144" display="事件依据"/>
    <hyperlink ref="U110" r:id="rId82" display="资产证明"/>
    <hyperlink ref="T111" r:id="rId145" display="事件依据"/>
    <hyperlink ref="U111" r:id="rId11" display="资产证明"/>
    <hyperlink ref="T112" r:id="rId146" display="事件依据"/>
    <hyperlink ref="U112" r:id="rId3" display="资产证明"/>
  </hyperlink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2"/>
  <sheetViews>
    <sheetView showGridLines="0" tabSelected="1" zoomScale="85" zoomScaleNormal="85" workbookViewId="0">
      <pane ySplit="4" topLeftCell="A5" activePane="bottomLeft" state="frozen"/>
      <selection/>
      <selection pane="bottomLeft" activeCell="D2" sqref="D2"/>
    </sheetView>
  </sheetViews>
  <sheetFormatPr defaultColWidth="9" defaultRowHeight="13.8" outlineLevelCol="5"/>
  <cols>
    <col min="1" max="1" width="6" customWidth="1"/>
    <col min="2" max="2" width="41.25" customWidth="1"/>
    <col min="3" max="4" width="13.1333333333333" customWidth="1"/>
    <col min="5" max="5" width="77.5" customWidth="1"/>
    <col min="6" max="6" width="31.8833333333333" customWidth="1"/>
  </cols>
  <sheetData>
    <row r="1" ht="10" customHeight="1" spans="1:6">
      <c r="A1" s="1"/>
      <c r="B1" s="1"/>
      <c r="C1" s="1"/>
      <c r="D1" s="1"/>
      <c r="E1" s="1"/>
      <c r="F1" s="1"/>
    </row>
    <row r="2" ht="30" customHeight="1" spans="1:6">
      <c r="A2" s="2" t="s">
        <v>1233</v>
      </c>
      <c r="B2" s="2" t="s">
        <v>1233</v>
      </c>
      <c r="C2" s="1"/>
      <c r="D2" s="1"/>
      <c r="E2" s="1"/>
      <c r="F2" s="1"/>
    </row>
    <row r="3" ht="24" customHeight="1" spans="1:6">
      <c r="A3" s="1"/>
      <c r="B3" s="1"/>
      <c r="C3" s="1"/>
      <c r="D3" s="1"/>
      <c r="E3" s="1"/>
      <c r="F3" s="1"/>
    </row>
    <row r="4" ht="32" customHeight="1" spans="1:6">
      <c r="A4" s="3" t="s">
        <v>39</v>
      </c>
      <c r="B4" s="3" t="s">
        <v>1234</v>
      </c>
      <c r="C4" s="3" t="s">
        <v>57</v>
      </c>
      <c r="D4" s="3" t="s">
        <v>58</v>
      </c>
      <c r="E4" s="3" t="s">
        <v>1235</v>
      </c>
      <c r="F4" s="3" t="s">
        <v>1236</v>
      </c>
    </row>
    <row r="5" ht="32" customHeight="1" spans="1:6">
      <c r="A5" s="4">
        <v>1</v>
      </c>
      <c r="B5" s="5" t="s">
        <v>1237</v>
      </c>
      <c r="C5" s="6" t="s">
        <v>57</v>
      </c>
      <c r="D5" s="6" t="s">
        <v>58</v>
      </c>
      <c r="E5" s="5" t="s">
        <v>75</v>
      </c>
      <c r="F5" s="5" t="s">
        <v>1238</v>
      </c>
    </row>
    <row r="6" ht="32" customHeight="1" spans="1:6">
      <c r="A6" s="4">
        <v>2</v>
      </c>
      <c r="B6" s="5" t="s">
        <v>1239</v>
      </c>
      <c r="C6" s="6" t="s">
        <v>57</v>
      </c>
      <c r="D6" s="6" t="s">
        <v>58</v>
      </c>
      <c r="E6" s="5" t="s">
        <v>75</v>
      </c>
      <c r="F6" s="5" t="s">
        <v>1238</v>
      </c>
    </row>
    <row r="7" ht="32" customHeight="1" spans="1:6">
      <c r="A7" s="4">
        <v>3</v>
      </c>
      <c r="B7" s="5" t="s">
        <v>1240</v>
      </c>
      <c r="C7" s="6" t="s">
        <v>57</v>
      </c>
      <c r="D7" s="6" t="s">
        <v>58</v>
      </c>
      <c r="E7" s="5" t="s">
        <v>75</v>
      </c>
      <c r="F7" s="5" t="s">
        <v>1241</v>
      </c>
    </row>
    <row r="8" ht="32" customHeight="1" spans="1:6">
      <c r="A8" s="4">
        <v>4</v>
      </c>
      <c r="B8" s="5" t="s">
        <v>1242</v>
      </c>
      <c r="C8" s="6" t="s">
        <v>57</v>
      </c>
      <c r="D8" s="6" t="s">
        <v>58</v>
      </c>
      <c r="E8" s="5" t="s">
        <v>75</v>
      </c>
      <c r="F8" s="5" t="s">
        <v>1243</v>
      </c>
    </row>
    <row r="9" ht="32" customHeight="1" spans="1:6">
      <c r="A9" s="4">
        <v>5</v>
      </c>
      <c r="B9" s="5" t="s">
        <v>1244</v>
      </c>
      <c r="C9" s="6" t="s">
        <v>57</v>
      </c>
      <c r="D9" s="6" t="s">
        <v>58</v>
      </c>
      <c r="E9" s="5" t="s">
        <v>75</v>
      </c>
      <c r="F9" s="5" t="s">
        <v>1241</v>
      </c>
    </row>
    <row r="10" ht="32" customHeight="1" spans="1:6">
      <c r="A10" s="4">
        <v>6</v>
      </c>
      <c r="B10" s="5" t="s">
        <v>1245</v>
      </c>
      <c r="C10" s="6" t="s">
        <v>57</v>
      </c>
      <c r="D10" s="6" t="s">
        <v>58</v>
      </c>
      <c r="E10" s="5" t="s">
        <v>75</v>
      </c>
      <c r="F10" s="5" t="s">
        <v>1241</v>
      </c>
    </row>
    <row r="11" ht="32" customHeight="1" spans="1:6">
      <c r="A11" s="4">
        <v>7</v>
      </c>
      <c r="B11" s="5" t="s">
        <v>1246</v>
      </c>
      <c r="C11" s="6" t="s">
        <v>57</v>
      </c>
      <c r="D11" s="6" t="s">
        <v>58</v>
      </c>
      <c r="E11" s="5" t="s">
        <v>75</v>
      </c>
      <c r="F11" s="5" t="s">
        <v>1241</v>
      </c>
    </row>
    <row r="12" ht="32" customHeight="1" spans="1:6">
      <c r="A12" s="4">
        <v>8</v>
      </c>
      <c r="B12" s="5" t="s">
        <v>1247</v>
      </c>
      <c r="C12" s="6" t="s">
        <v>57</v>
      </c>
      <c r="D12" s="6" t="s">
        <v>58</v>
      </c>
      <c r="E12" s="5" t="s">
        <v>75</v>
      </c>
      <c r="F12" s="5" t="s">
        <v>1238</v>
      </c>
    </row>
    <row r="13" ht="32" customHeight="1" spans="1:6">
      <c r="A13" s="4">
        <v>9</v>
      </c>
      <c r="B13" s="5" t="s">
        <v>1248</v>
      </c>
      <c r="C13" s="6" t="s">
        <v>57</v>
      </c>
      <c r="D13" s="6" t="s">
        <v>58</v>
      </c>
      <c r="E13" s="5" t="s">
        <v>75</v>
      </c>
      <c r="F13" s="5" t="s">
        <v>1243</v>
      </c>
    </row>
    <row r="14" ht="32" customHeight="1" spans="1:6">
      <c r="A14" s="4">
        <v>10</v>
      </c>
      <c r="B14" s="5" t="s">
        <v>1249</v>
      </c>
      <c r="C14" s="6" t="s">
        <v>57</v>
      </c>
      <c r="D14" s="6" t="s">
        <v>58</v>
      </c>
      <c r="E14" s="5" t="s">
        <v>75</v>
      </c>
      <c r="F14" s="5" t="s">
        <v>1238</v>
      </c>
    </row>
    <row r="15" ht="32" customHeight="1" spans="1:6">
      <c r="A15" s="4">
        <v>11</v>
      </c>
      <c r="B15" s="5" t="s">
        <v>1250</v>
      </c>
      <c r="C15" s="6" t="s">
        <v>57</v>
      </c>
      <c r="D15" s="6" t="s">
        <v>58</v>
      </c>
      <c r="E15" s="5" t="s">
        <v>75</v>
      </c>
      <c r="F15" s="5" t="s">
        <v>1238</v>
      </c>
    </row>
    <row r="16" ht="32" customHeight="1" spans="1:6">
      <c r="A16" s="4">
        <v>12</v>
      </c>
      <c r="B16" s="5" t="s">
        <v>1251</v>
      </c>
      <c r="C16" s="6" t="s">
        <v>57</v>
      </c>
      <c r="D16" s="6" t="s">
        <v>58</v>
      </c>
      <c r="E16" s="5" t="s">
        <v>75</v>
      </c>
      <c r="F16" s="5" t="s">
        <v>1238</v>
      </c>
    </row>
    <row r="17" ht="32" customHeight="1" spans="1:6">
      <c r="A17" s="4">
        <v>13</v>
      </c>
      <c r="B17" s="5" t="s">
        <v>1252</v>
      </c>
      <c r="C17" s="6" t="s">
        <v>57</v>
      </c>
      <c r="D17" s="6" t="s">
        <v>58</v>
      </c>
      <c r="E17" s="5" t="s">
        <v>75</v>
      </c>
      <c r="F17" s="5" t="s">
        <v>1241</v>
      </c>
    </row>
    <row r="18" ht="32" customHeight="1" spans="1:6">
      <c r="A18" s="4">
        <v>14</v>
      </c>
      <c r="B18" s="5" t="s">
        <v>1253</v>
      </c>
      <c r="C18" s="6" t="s">
        <v>57</v>
      </c>
      <c r="D18" s="6" t="s">
        <v>58</v>
      </c>
      <c r="E18" s="5" t="s">
        <v>75</v>
      </c>
      <c r="F18" s="5" t="s">
        <v>1241</v>
      </c>
    </row>
    <row r="19" ht="32" customHeight="1" spans="1:6">
      <c r="A19" s="4">
        <v>15</v>
      </c>
      <c r="B19" s="5" t="s">
        <v>1254</v>
      </c>
      <c r="C19" s="6" t="s">
        <v>57</v>
      </c>
      <c r="D19" s="6" t="s">
        <v>58</v>
      </c>
      <c r="E19" s="5" t="s">
        <v>75</v>
      </c>
      <c r="F19" s="5" t="s">
        <v>1241</v>
      </c>
    </row>
    <row r="20" ht="32" customHeight="1" spans="1:6">
      <c r="A20" s="4">
        <v>16</v>
      </c>
      <c r="B20" s="5" t="s">
        <v>1255</v>
      </c>
      <c r="C20" s="6" t="s">
        <v>57</v>
      </c>
      <c r="D20" s="6" t="s">
        <v>58</v>
      </c>
      <c r="E20" s="5" t="s">
        <v>75</v>
      </c>
      <c r="F20" s="5" t="s">
        <v>1241</v>
      </c>
    </row>
    <row r="21" ht="32" customHeight="1" spans="1:6">
      <c r="A21" s="4">
        <v>17</v>
      </c>
      <c r="B21" s="5" t="s">
        <v>1256</v>
      </c>
      <c r="C21" s="6" t="s">
        <v>57</v>
      </c>
      <c r="D21" s="6" t="s">
        <v>58</v>
      </c>
      <c r="E21" s="5" t="s">
        <v>75</v>
      </c>
      <c r="F21" s="5" t="s">
        <v>1241</v>
      </c>
    </row>
    <row r="22" ht="32" customHeight="1" spans="1:6">
      <c r="A22" s="4">
        <v>18</v>
      </c>
      <c r="B22" s="5" t="s">
        <v>1257</v>
      </c>
      <c r="C22" s="6" t="s">
        <v>57</v>
      </c>
      <c r="D22" s="6" t="s">
        <v>58</v>
      </c>
      <c r="E22" s="5" t="s">
        <v>75</v>
      </c>
      <c r="F22" s="5" t="s">
        <v>1241</v>
      </c>
    </row>
    <row r="23" ht="32" customHeight="1" spans="1:6">
      <c r="A23" s="4">
        <v>19</v>
      </c>
      <c r="B23" s="5" t="s">
        <v>1258</v>
      </c>
      <c r="C23" s="6" t="s">
        <v>57</v>
      </c>
      <c r="D23" s="6" t="s">
        <v>58</v>
      </c>
      <c r="E23" s="5" t="s">
        <v>1259</v>
      </c>
      <c r="F23" s="5" t="s">
        <v>1260</v>
      </c>
    </row>
    <row r="24" ht="32" customHeight="1" spans="1:6">
      <c r="A24" s="4">
        <v>20</v>
      </c>
      <c r="B24" s="5" t="s">
        <v>1261</v>
      </c>
      <c r="C24" s="6" t="s">
        <v>57</v>
      </c>
      <c r="D24" s="6" t="s">
        <v>58</v>
      </c>
      <c r="E24" s="5" t="s">
        <v>75</v>
      </c>
      <c r="F24" s="5" t="s">
        <v>1243</v>
      </c>
    </row>
    <row r="25" ht="44" customHeight="1" spans="1:6">
      <c r="A25" s="4">
        <v>21</v>
      </c>
      <c r="B25" s="5" t="s">
        <v>1262</v>
      </c>
      <c r="C25" s="6" t="s">
        <v>57</v>
      </c>
      <c r="D25" s="6" t="s">
        <v>58</v>
      </c>
      <c r="E25" s="5" t="s">
        <v>1263</v>
      </c>
      <c r="F25" s="5" t="s">
        <v>1260</v>
      </c>
    </row>
    <row r="26" ht="32" customHeight="1" spans="1:6">
      <c r="A26" s="4">
        <v>22</v>
      </c>
      <c r="B26" s="5" t="s">
        <v>1264</v>
      </c>
      <c r="C26" s="6" t="s">
        <v>57</v>
      </c>
      <c r="D26" s="6" t="s">
        <v>58</v>
      </c>
      <c r="E26" s="5" t="s">
        <v>75</v>
      </c>
      <c r="F26" s="5" t="s">
        <v>1238</v>
      </c>
    </row>
    <row r="27" ht="32" customHeight="1" spans="1:6">
      <c r="A27" s="4">
        <v>23</v>
      </c>
      <c r="B27" s="5" t="s">
        <v>1265</v>
      </c>
      <c r="C27" s="6" t="s">
        <v>57</v>
      </c>
      <c r="D27" s="6" t="s">
        <v>58</v>
      </c>
      <c r="E27" s="5" t="s">
        <v>75</v>
      </c>
      <c r="F27" s="5" t="s">
        <v>1243</v>
      </c>
    </row>
    <row r="28" ht="32" customHeight="1" spans="1:6">
      <c r="A28" s="4">
        <v>24</v>
      </c>
      <c r="B28" s="5" t="s">
        <v>1266</v>
      </c>
      <c r="C28" s="6" t="s">
        <v>57</v>
      </c>
      <c r="D28" s="6" t="s">
        <v>58</v>
      </c>
      <c r="E28" s="5" t="s">
        <v>75</v>
      </c>
      <c r="F28" s="5" t="s">
        <v>1243</v>
      </c>
    </row>
    <row r="29" ht="32" customHeight="1" spans="1:6">
      <c r="A29" s="4">
        <v>25</v>
      </c>
      <c r="B29" s="5" t="s">
        <v>1267</v>
      </c>
      <c r="C29" s="6" t="s">
        <v>57</v>
      </c>
      <c r="D29" s="6" t="s">
        <v>58</v>
      </c>
      <c r="E29" s="5" t="s">
        <v>1268</v>
      </c>
      <c r="F29" s="5" t="s">
        <v>1260</v>
      </c>
    </row>
    <row r="30" ht="32" customHeight="1" spans="1:6">
      <c r="A30" s="4">
        <v>26</v>
      </c>
      <c r="B30" s="5" t="s">
        <v>1269</v>
      </c>
      <c r="C30" s="6" t="s">
        <v>57</v>
      </c>
      <c r="D30" s="6" t="s">
        <v>58</v>
      </c>
      <c r="E30" s="5" t="s">
        <v>75</v>
      </c>
      <c r="F30" s="5" t="s">
        <v>1241</v>
      </c>
    </row>
    <row r="31" ht="32" customHeight="1" spans="1:6">
      <c r="A31" s="4">
        <v>27</v>
      </c>
      <c r="B31" s="5" t="s">
        <v>1270</v>
      </c>
      <c r="C31" s="6" t="s">
        <v>57</v>
      </c>
      <c r="D31" s="6" t="s">
        <v>58</v>
      </c>
      <c r="E31" s="5" t="s">
        <v>75</v>
      </c>
      <c r="F31" s="5" t="s">
        <v>1241</v>
      </c>
    </row>
    <row r="32" ht="32" customHeight="1" spans="1:6">
      <c r="A32" s="4">
        <v>28</v>
      </c>
      <c r="B32" s="5" t="s">
        <v>1271</v>
      </c>
      <c r="C32" s="6" t="s">
        <v>57</v>
      </c>
      <c r="D32" s="6" t="s">
        <v>58</v>
      </c>
      <c r="E32" s="5" t="s">
        <v>75</v>
      </c>
      <c r="F32" s="5" t="s">
        <v>1241</v>
      </c>
    </row>
    <row r="33" ht="32" customHeight="1" spans="1:6">
      <c r="A33" s="4">
        <v>29</v>
      </c>
      <c r="B33" s="5" t="s">
        <v>1272</v>
      </c>
      <c r="C33" s="6" t="s">
        <v>57</v>
      </c>
      <c r="D33" s="6" t="s">
        <v>58</v>
      </c>
      <c r="E33" s="5" t="s">
        <v>75</v>
      </c>
      <c r="F33" s="5" t="s">
        <v>1241</v>
      </c>
    </row>
    <row r="34" ht="44" customHeight="1" spans="1:6">
      <c r="A34" s="4">
        <v>30</v>
      </c>
      <c r="B34" s="5" t="s">
        <v>1273</v>
      </c>
      <c r="C34" s="6" t="s">
        <v>57</v>
      </c>
      <c r="D34" s="6" t="s">
        <v>58</v>
      </c>
      <c r="E34" s="5" t="s">
        <v>1274</v>
      </c>
      <c r="F34" s="5" t="s">
        <v>1238</v>
      </c>
    </row>
    <row r="35" ht="44" customHeight="1" spans="1:6">
      <c r="A35" s="4">
        <v>31</v>
      </c>
      <c r="B35" s="5" t="s">
        <v>1275</v>
      </c>
      <c r="C35" s="6" t="s">
        <v>57</v>
      </c>
      <c r="D35" s="6" t="s">
        <v>58</v>
      </c>
      <c r="E35" s="5" t="s">
        <v>1276</v>
      </c>
      <c r="F35" s="5" t="s">
        <v>1260</v>
      </c>
    </row>
    <row r="36" ht="32" customHeight="1" spans="1:6">
      <c r="A36" s="4">
        <v>32</v>
      </c>
      <c r="B36" s="5" t="s">
        <v>1277</v>
      </c>
      <c r="C36" s="6" t="s">
        <v>57</v>
      </c>
      <c r="D36" s="6" t="s">
        <v>58</v>
      </c>
      <c r="E36" s="5" t="s">
        <v>75</v>
      </c>
      <c r="F36" s="5" t="s">
        <v>1238</v>
      </c>
    </row>
    <row r="37" ht="32" customHeight="1" spans="1:6">
      <c r="A37" s="4">
        <v>33</v>
      </c>
      <c r="B37" s="5" t="s">
        <v>1278</v>
      </c>
      <c r="C37" s="6" t="s">
        <v>57</v>
      </c>
      <c r="D37" s="6" t="s">
        <v>58</v>
      </c>
      <c r="E37" s="5" t="s">
        <v>75</v>
      </c>
      <c r="F37" s="5" t="s">
        <v>1241</v>
      </c>
    </row>
    <row r="38" ht="32" customHeight="1" spans="1:6">
      <c r="A38" s="4">
        <v>34</v>
      </c>
      <c r="B38" s="5" t="s">
        <v>1279</v>
      </c>
      <c r="C38" s="6" t="s">
        <v>57</v>
      </c>
      <c r="D38" s="6" t="s">
        <v>58</v>
      </c>
      <c r="E38" s="5" t="s">
        <v>75</v>
      </c>
      <c r="F38" s="5" t="s">
        <v>1238</v>
      </c>
    </row>
    <row r="39" ht="32" customHeight="1" spans="1:6">
      <c r="A39" s="4">
        <v>35</v>
      </c>
      <c r="B39" s="5" t="s">
        <v>1280</v>
      </c>
      <c r="C39" s="6" t="s">
        <v>57</v>
      </c>
      <c r="D39" s="6" t="s">
        <v>58</v>
      </c>
      <c r="E39" s="5" t="s">
        <v>75</v>
      </c>
      <c r="F39" s="5" t="s">
        <v>1241</v>
      </c>
    </row>
    <row r="40" ht="32" customHeight="1" spans="1:6">
      <c r="A40" s="4">
        <v>36</v>
      </c>
      <c r="B40" s="5" t="s">
        <v>1281</v>
      </c>
      <c r="C40" s="6" t="s">
        <v>57</v>
      </c>
      <c r="D40" s="6" t="s">
        <v>58</v>
      </c>
      <c r="E40" s="5" t="s">
        <v>75</v>
      </c>
      <c r="F40" s="5" t="s">
        <v>1241</v>
      </c>
    </row>
    <row r="41" ht="32" customHeight="1" spans="1:6">
      <c r="A41" s="4">
        <v>37</v>
      </c>
      <c r="B41" s="5" t="s">
        <v>1282</v>
      </c>
      <c r="C41" s="6" t="s">
        <v>57</v>
      </c>
      <c r="D41" s="6" t="s">
        <v>58</v>
      </c>
      <c r="E41" s="5" t="s">
        <v>75</v>
      </c>
      <c r="F41" s="5" t="s">
        <v>1241</v>
      </c>
    </row>
    <row r="42" ht="32" customHeight="1" spans="1:6">
      <c r="A42" s="4">
        <v>38</v>
      </c>
      <c r="B42" s="5" t="s">
        <v>1283</v>
      </c>
      <c r="C42" s="6" t="s">
        <v>57</v>
      </c>
      <c r="D42" s="6" t="s">
        <v>58</v>
      </c>
      <c r="E42" s="5" t="s">
        <v>75</v>
      </c>
      <c r="F42" s="5" t="s">
        <v>1238</v>
      </c>
    </row>
    <row r="43" ht="32" customHeight="1" spans="1:6">
      <c r="A43" s="4">
        <v>39</v>
      </c>
      <c r="B43" s="5" t="s">
        <v>1284</v>
      </c>
      <c r="C43" s="6" t="s">
        <v>57</v>
      </c>
      <c r="D43" s="6" t="s">
        <v>58</v>
      </c>
      <c r="E43" s="5" t="s">
        <v>75</v>
      </c>
      <c r="F43" s="5" t="s">
        <v>1241</v>
      </c>
    </row>
    <row r="44" ht="32" customHeight="1" spans="1:6">
      <c r="A44" s="4">
        <v>40</v>
      </c>
      <c r="B44" s="5" t="s">
        <v>1285</v>
      </c>
      <c r="C44" s="6" t="s">
        <v>57</v>
      </c>
      <c r="D44" s="6" t="s">
        <v>58</v>
      </c>
      <c r="E44" s="5" t="s">
        <v>75</v>
      </c>
      <c r="F44" s="5" t="s">
        <v>1243</v>
      </c>
    </row>
    <row r="45" ht="32" customHeight="1" spans="1:6">
      <c r="A45" s="4">
        <v>41</v>
      </c>
      <c r="B45" s="5" t="s">
        <v>1286</v>
      </c>
      <c r="C45" s="6" t="s">
        <v>57</v>
      </c>
      <c r="D45" s="6" t="s">
        <v>58</v>
      </c>
      <c r="E45" s="5" t="s">
        <v>75</v>
      </c>
      <c r="F45" s="5" t="s">
        <v>1287</v>
      </c>
    </row>
    <row r="46" ht="32" customHeight="1" spans="1:6">
      <c r="A46" s="4">
        <v>42</v>
      </c>
      <c r="B46" s="5" t="s">
        <v>1288</v>
      </c>
      <c r="C46" s="6" t="s">
        <v>57</v>
      </c>
      <c r="D46" s="6" t="s">
        <v>58</v>
      </c>
      <c r="E46" s="5" t="s">
        <v>75</v>
      </c>
      <c r="F46" s="5" t="s">
        <v>1241</v>
      </c>
    </row>
    <row r="47" ht="32" customHeight="1" spans="1:6">
      <c r="A47" s="4">
        <v>43</v>
      </c>
      <c r="B47" s="5" t="s">
        <v>1289</v>
      </c>
      <c r="C47" s="6" t="s">
        <v>57</v>
      </c>
      <c r="D47" s="6" t="s">
        <v>58</v>
      </c>
      <c r="E47" s="5" t="s">
        <v>75</v>
      </c>
      <c r="F47" s="5" t="s">
        <v>1238</v>
      </c>
    </row>
    <row r="48" ht="32" customHeight="1" spans="1:6">
      <c r="A48" s="4">
        <v>44</v>
      </c>
      <c r="B48" s="5" t="s">
        <v>1290</v>
      </c>
      <c r="C48" s="6" t="s">
        <v>57</v>
      </c>
      <c r="D48" s="6" t="s">
        <v>58</v>
      </c>
      <c r="E48" s="5" t="s">
        <v>1291</v>
      </c>
      <c r="F48" s="5" t="s">
        <v>1260</v>
      </c>
    </row>
    <row r="49" ht="32" customHeight="1" spans="1:6">
      <c r="A49" s="4">
        <v>45</v>
      </c>
      <c r="B49" s="5" t="s">
        <v>1292</v>
      </c>
      <c r="C49" s="6" t="s">
        <v>57</v>
      </c>
      <c r="D49" s="6" t="s">
        <v>58</v>
      </c>
      <c r="E49" s="5" t="s">
        <v>1293</v>
      </c>
      <c r="F49" s="5" t="s">
        <v>1260</v>
      </c>
    </row>
    <row r="50" ht="32" customHeight="1" spans="1:6">
      <c r="A50" s="4">
        <v>46</v>
      </c>
      <c r="B50" s="5" t="s">
        <v>1294</v>
      </c>
      <c r="C50" s="6" t="s">
        <v>57</v>
      </c>
      <c r="D50" s="6" t="s">
        <v>58</v>
      </c>
      <c r="E50" s="5" t="s">
        <v>75</v>
      </c>
      <c r="F50" s="5" t="s">
        <v>1241</v>
      </c>
    </row>
    <row r="51" ht="32" customHeight="1" spans="1:6">
      <c r="A51" s="4">
        <v>47</v>
      </c>
      <c r="B51" s="5" t="s">
        <v>1295</v>
      </c>
      <c r="C51" s="6" t="s">
        <v>57</v>
      </c>
      <c r="D51" s="6" t="s">
        <v>58</v>
      </c>
      <c r="E51" s="5" t="s">
        <v>75</v>
      </c>
      <c r="F51" s="5" t="s">
        <v>1241</v>
      </c>
    </row>
    <row r="52" ht="32" customHeight="1" spans="1:6">
      <c r="A52" s="4">
        <v>48</v>
      </c>
      <c r="B52" s="5" t="s">
        <v>1296</v>
      </c>
      <c r="C52" s="6" t="s">
        <v>57</v>
      </c>
      <c r="D52" s="6" t="s">
        <v>58</v>
      </c>
      <c r="E52" s="5" t="s">
        <v>1297</v>
      </c>
      <c r="F52" s="5" t="s">
        <v>1260</v>
      </c>
    </row>
    <row r="53" ht="32" customHeight="1" spans="1:6">
      <c r="A53" s="4">
        <v>49</v>
      </c>
      <c r="B53" s="5" t="s">
        <v>1298</v>
      </c>
      <c r="C53" s="6" t="s">
        <v>57</v>
      </c>
      <c r="D53" s="6" t="s">
        <v>58</v>
      </c>
      <c r="E53" s="5" t="s">
        <v>1299</v>
      </c>
      <c r="F53" s="5" t="s">
        <v>1260</v>
      </c>
    </row>
    <row r="54" ht="32" customHeight="1" spans="1:6">
      <c r="A54" s="4">
        <v>50</v>
      </c>
      <c r="B54" s="5" t="s">
        <v>1300</v>
      </c>
      <c r="C54" s="6" t="s">
        <v>57</v>
      </c>
      <c r="D54" s="6" t="s">
        <v>58</v>
      </c>
      <c r="E54" s="5" t="s">
        <v>75</v>
      </c>
      <c r="F54" s="5" t="s">
        <v>1241</v>
      </c>
    </row>
    <row r="55" ht="32" customHeight="1" spans="1:6">
      <c r="A55" s="4">
        <v>51</v>
      </c>
      <c r="B55" s="5" t="s">
        <v>1301</v>
      </c>
      <c r="C55" s="6" t="s">
        <v>57</v>
      </c>
      <c r="D55" s="6" t="s">
        <v>58</v>
      </c>
      <c r="E55" s="5" t="s">
        <v>75</v>
      </c>
      <c r="F55" s="5" t="s">
        <v>1238</v>
      </c>
    </row>
    <row r="56" ht="32" customHeight="1" spans="1:6">
      <c r="A56" s="4">
        <v>52</v>
      </c>
      <c r="B56" s="5" t="s">
        <v>1302</v>
      </c>
      <c r="C56" s="6" t="s">
        <v>57</v>
      </c>
      <c r="D56" s="6" t="s">
        <v>58</v>
      </c>
      <c r="E56" s="5" t="s">
        <v>75</v>
      </c>
      <c r="F56" s="5" t="s">
        <v>1241</v>
      </c>
    </row>
    <row r="57" ht="32" customHeight="1" spans="1:6">
      <c r="A57" s="4">
        <v>53</v>
      </c>
      <c r="B57" s="5" t="s">
        <v>1303</v>
      </c>
      <c r="C57" s="6" t="s">
        <v>57</v>
      </c>
      <c r="D57" s="6" t="s">
        <v>58</v>
      </c>
      <c r="E57" s="5" t="s">
        <v>75</v>
      </c>
      <c r="F57" s="5" t="s">
        <v>1241</v>
      </c>
    </row>
    <row r="58" ht="44" customHeight="1" spans="1:6">
      <c r="A58" s="4">
        <v>54</v>
      </c>
      <c r="B58" s="5" t="s">
        <v>1304</v>
      </c>
      <c r="C58" s="6" t="s">
        <v>57</v>
      </c>
      <c r="D58" s="6" t="s">
        <v>58</v>
      </c>
      <c r="E58" s="5" t="s">
        <v>1305</v>
      </c>
      <c r="F58" s="5" t="s">
        <v>1238</v>
      </c>
    </row>
    <row r="59" ht="32" customHeight="1" spans="1:6">
      <c r="A59" s="4">
        <v>55</v>
      </c>
      <c r="B59" s="5" t="s">
        <v>1306</v>
      </c>
      <c r="C59" s="6" t="s">
        <v>57</v>
      </c>
      <c r="D59" s="6" t="s">
        <v>58</v>
      </c>
      <c r="E59" s="5" t="s">
        <v>75</v>
      </c>
      <c r="F59" s="5" t="s">
        <v>1307</v>
      </c>
    </row>
    <row r="60" ht="32" customHeight="1" spans="1:6">
      <c r="A60" s="4">
        <v>56</v>
      </c>
      <c r="B60" s="5" t="s">
        <v>1308</v>
      </c>
      <c r="C60" s="6" t="s">
        <v>57</v>
      </c>
      <c r="D60" s="6" t="s">
        <v>58</v>
      </c>
      <c r="E60" s="5" t="s">
        <v>1309</v>
      </c>
      <c r="F60" s="5" t="s">
        <v>1260</v>
      </c>
    </row>
    <row r="61" ht="32" customHeight="1" spans="1:6">
      <c r="A61" s="4">
        <v>57</v>
      </c>
      <c r="B61" s="5" t="s">
        <v>1310</v>
      </c>
      <c r="C61" s="6" t="s">
        <v>57</v>
      </c>
      <c r="D61" s="6" t="s">
        <v>58</v>
      </c>
      <c r="E61" s="5" t="s">
        <v>75</v>
      </c>
      <c r="F61" s="5" t="s">
        <v>1241</v>
      </c>
    </row>
    <row r="62" ht="32" customHeight="1" spans="1:6">
      <c r="A62" s="4">
        <v>58</v>
      </c>
      <c r="B62" s="5" t="s">
        <v>1311</v>
      </c>
      <c r="C62" s="6" t="s">
        <v>57</v>
      </c>
      <c r="D62" s="6" t="s">
        <v>58</v>
      </c>
      <c r="E62" s="5" t="s">
        <v>75</v>
      </c>
      <c r="F62" s="5" t="s">
        <v>1241</v>
      </c>
    </row>
    <row r="63" ht="32" customHeight="1" spans="1:6">
      <c r="A63" s="4">
        <v>59</v>
      </c>
      <c r="B63" s="5" t="s">
        <v>1312</v>
      </c>
      <c r="C63" s="6" t="s">
        <v>57</v>
      </c>
      <c r="D63" s="6" t="s">
        <v>58</v>
      </c>
      <c r="E63" s="5" t="s">
        <v>1313</v>
      </c>
      <c r="F63" s="5" t="s">
        <v>1238</v>
      </c>
    </row>
    <row r="64" ht="32" customHeight="1" spans="1:6">
      <c r="A64" s="4">
        <v>60</v>
      </c>
      <c r="B64" s="5" t="s">
        <v>1314</v>
      </c>
      <c r="C64" s="6" t="s">
        <v>57</v>
      </c>
      <c r="D64" s="6" t="s">
        <v>58</v>
      </c>
      <c r="E64" s="5" t="s">
        <v>75</v>
      </c>
      <c r="F64" s="5" t="s">
        <v>1241</v>
      </c>
    </row>
    <row r="65" ht="95" customHeight="1" spans="1:6">
      <c r="A65" s="4">
        <v>61</v>
      </c>
      <c r="B65" s="5" t="s">
        <v>1315</v>
      </c>
      <c r="C65" s="6" t="s">
        <v>57</v>
      </c>
      <c r="D65" s="6" t="s">
        <v>58</v>
      </c>
      <c r="E65" s="5" t="s">
        <v>1316</v>
      </c>
      <c r="F65" s="5" t="s">
        <v>1238</v>
      </c>
    </row>
    <row r="66" ht="32" customHeight="1" spans="1:6">
      <c r="A66" s="4">
        <v>62</v>
      </c>
      <c r="B66" s="5" t="s">
        <v>1317</v>
      </c>
      <c r="C66" s="6" t="s">
        <v>57</v>
      </c>
      <c r="D66" s="6" t="s">
        <v>58</v>
      </c>
      <c r="E66" s="5" t="s">
        <v>1318</v>
      </c>
      <c r="F66" s="5" t="s">
        <v>1238</v>
      </c>
    </row>
    <row r="67" ht="32" customHeight="1" spans="1:6">
      <c r="A67" s="4">
        <v>63</v>
      </c>
      <c r="B67" s="5" t="s">
        <v>1319</v>
      </c>
      <c r="C67" s="6" t="s">
        <v>57</v>
      </c>
      <c r="D67" s="6" t="s">
        <v>58</v>
      </c>
      <c r="E67" s="5" t="s">
        <v>75</v>
      </c>
      <c r="F67" s="5" t="s">
        <v>1241</v>
      </c>
    </row>
    <row r="68" ht="32" customHeight="1" spans="1:6">
      <c r="A68" s="4">
        <v>64</v>
      </c>
      <c r="B68" s="5" t="s">
        <v>1320</v>
      </c>
      <c r="C68" s="6" t="s">
        <v>57</v>
      </c>
      <c r="D68" s="6" t="s">
        <v>58</v>
      </c>
      <c r="E68" s="5" t="s">
        <v>75</v>
      </c>
      <c r="F68" s="5" t="s">
        <v>1241</v>
      </c>
    </row>
    <row r="69" ht="32" customHeight="1" spans="1:6">
      <c r="A69" s="4">
        <v>65</v>
      </c>
      <c r="B69" s="5" t="s">
        <v>1321</v>
      </c>
      <c r="C69" s="6" t="s">
        <v>57</v>
      </c>
      <c r="D69" s="6" t="s">
        <v>58</v>
      </c>
      <c r="E69" s="5" t="s">
        <v>1322</v>
      </c>
      <c r="F69" s="5" t="s">
        <v>1241</v>
      </c>
    </row>
    <row r="70" ht="32" customHeight="1" spans="1:6">
      <c r="A70" s="4">
        <v>66</v>
      </c>
      <c r="B70" s="5" t="s">
        <v>1323</v>
      </c>
      <c r="C70" s="6" t="s">
        <v>57</v>
      </c>
      <c r="D70" s="6" t="s">
        <v>58</v>
      </c>
      <c r="E70" s="5" t="s">
        <v>75</v>
      </c>
      <c r="F70" s="5" t="s">
        <v>1238</v>
      </c>
    </row>
    <row r="71" ht="32" customHeight="1" spans="1:6">
      <c r="A71" s="4">
        <v>67</v>
      </c>
      <c r="B71" s="5" t="s">
        <v>1324</v>
      </c>
      <c r="C71" s="6" t="s">
        <v>57</v>
      </c>
      <c r="D71" s="6" t="s">
        <v>58</v>
      </c>
      <c r="E71" s="5" t="s">
        <v>75</v>
      </c>
      <c r="F71" s="5" t="s">
        <v>1238</v>
      </c>
    </row>
    <row r="72" ht="32" customHeight="1" spans="1:6">
      <c r="A72" s="4">
        <v>68</v>
      </c>
      <c r="B72" s="5" t="s">
        <v>1325</v>
      </c>
      <c r="C72" s="6" t="s">
        <v>57</v>
      </c>
      <c r="D72" s="6" t="s">
        <v>58</v>
      </c>
      <c r="E72" s="5" t="s">
        <v>75</v>
      </c>
      <c r="F72" s="5" t="s">
        <v>1241</v>
      </c>
    </row>
    <row r="73" ht="32" customHeight="1" spans="1:6">
      <c r="A73" s="4">
        <v>69</v>
      </c>
      <c r="B73" s="5" t="s">
        <v>1326</v>
      </c>
      <c r="C73" s="6" t="s">
        <v>57</v>
      </c>
      <c r="D73" s="6" t="s">
        <v>58</v>
      </c>
      <c r="E73" s="5" t="s">
        <v>75</v>
      </c>
      <c r="F73" s="5" t="s">
        <v>1241</v>
      </c>
    </row>
    <row r="74" ht="32" customHeight="1" spans="1:6">
      <c r="A74" s="4">
        <v>70</v>
      </c>
      <c r="B74" s="5" t="s">
        <v>1327</v>
      </c>
      <c r="C74" s="6" t="s">
        <v>57</v>
      </c>
      <c r="D74" s="6" t="s">
        <v>58</v>
      </c>
      <c r="E74" s="5" t="s">
        <v>75</v>
      </c>
      <c r="F74" s="5" t="s">
        <v>1238</v>
      </c>
    </row>
    <row r="75" ht="32" customHeight="1" spans="1:6">
      <c r="A75" s="4">
        <v>71</v>
      </c>
      <c r="B75" s="5" t="s">
        <v>1328</v>
      </c>
      <c r="C75" s="6" t="s">
        <v>57</v>
      </c>
      <c r="D75" s="6" t="s">
        <v>58</v>
      </c>
      <c r="E75" s="5" t="s">
        <v>75</v>
      </c>
      <c r="F75" s="5" t="s">
        <v>1238</v>
      </c>
    </row>
    <row r="76" ht="32" customHeight="1" spans="1:6">
      <c r="A76" s="4">
        <v>72</v>
      </c>
      <c r="B76" s="5" t="s">
        <v>1329</v>
      </c>
      <c r="C76" s="6" t="s">
        <v>57</v>
      </c>
      <c r="D76" s="6" t="s">
        <v>58</v>
      </c>
      <c r="E76" s="5" t="s">
        <v>75</v>
      </c>
      <c r="F76" s="5" t="s">
        <v>1241</v>
      </c>
    </row>
    <row r="77" ht="32" customHeight="1" spans="1:6">
      <c r="A77" s="4">
        <v>73</v>
      </c>
      <c r="B77" s="5" t="s">
        <v>1330</v>
      </c>
      <c r="C77" s="6" t="s">
        <v>57</v>
      </c>
      <c r="D77" s="6" t="s">
        <v>58</v>
      </c>
      <c r="E77" s="5" t="s">
        <v>75</v>
      </c>
      <c r="F77" s="5" t="s">
        <v>1238</v>
      </c>
    </row>
    <row r="78" ht="32" customHeight="1" spans="1:6">
      <c r="A78" s="4">
        <v>74</v>
      </c>
      <c r="B78" s="5" t="s">
        <v>1331</v>
      </c>
      <c r="C78" s="6" t="s">
        <v>57</v>
      </c>
      <c r="D78" s="6" t="s">
        <v>58</v>
      </c>
      <c r="E78" s="5" t="s">
        <v>75</v>
      </c>
      <c r="F78" s="5" t="s">
        <v>1241</v>
      </c>
    </row>
    <row r="79" ht="32" customHeight="1" spans="1:6">
      <c r="A79" s="4">
        <v>75</v>
      </c>
      <c r="B79" s="5" t="s">
        <v>1332</v>
      </c>
      <c r="C79" s="6" t="s">
        <v>57</v>
      </c>
      <c r="D79" s="6" t="s">
        <v>58</v>
      </c>
      <c r="E79" s="5" t="s">
        <v>75</v>
      </c>
      <c r="F79" s="5" t="s">
        <v>1238</v>
      </c>
    </row>
    <row r="80" ht="32" customHeight="1" spans="1:6">
      <c r="A80" s="4">
        <v>76</v>
      </c>
      <c r="B80" s="5" t="s">
        <v>1333</v>
      </c>
      <c r="C80" s="6" t="s">
        <v>57</v>
      </c>
      <c r="D80" s="6" t="s">
        <v>58</v>
      </c>
      <c r="E80" s="5" t="s">
        <v>75</v>
      </c>
      <c r="F80" s="5" t="s">
        <v>1241</v>
      </c>
    </row>
    <row r="81" ht="32" customHeight="1" spans="1:6">
      <c r="A81" s="4">
        <v>77</v>
      </c>
      <c r="B81" s="5" t="s">
        <v>1334</v>
      </c>
      <c r="C81" s="6" t="s">
        <v>57</v>
      </c>
      <c r="D81" s="6" t="s">
        <v>58</v>
      </c>
      <c r="E81" s="5" t="s">
        <v>75</v>
      </c>
      <c r="F81" s="5" t="s">
        <v>1238</v>
      </c>
    </row>
    <row r="82" ht="32" customHeight="1" spans="1:6">
      <c r="A82" s="4">
        <v>78</v>
      </c>
      <c r="B82" s="5" t="s">
        <v>1335</v>
      </c>
      <c r="C82" s="6" t="s">
        <v>57</v>
      </c>
      <c r="D82" s="6" t="s">
        <v>58</v>
      </c>
      <c r="E82" s="5" t="s">
        <v>75</v>
      </c>
      <c r="F82" s="5" t="s">
        <v>1238</v>
      </c>
    </row>
    <row r="83" ht="44" customHeight="1" spans="1:6">
      <c r="A83" s="4">
        <v>79</v>
      </c>
      <c r="B83" s="5" t="s">
        <v>1336</v>
      </c>
      <c r="C83" s="6" t="s">
        <v>57</v>
      </c>
      <c r="D83" s="6" t="s">
        <v>58</v>
      </c>
      <c r="E83" s="5" t="s">
        <v>75</v>
      </c>
      <c r="F83" s="5" t="s">
        <v>1337</v>
      </c>
    </row>
    <row r="84" ht="32" customHeight="1" spans="1:6">
      <c r="A84" s="4">
        <v>80</v>
      </c>
      <c r="B84" s="5" t="s">
        <v>1338</v>
      </c>
      <c r="C84" s="6" t="s">
        <v>57</v>
      </c>
      <c r="D84" s="6" t="s">
        <v>58</v>
      </c>
      <c r="E84" s="5" t="s">
        <v>75</v>
      </c>
      <c r="F84" s="5" t="s">
        <v>1238</v>
      </c>
    </row>
    <row r="85" ht="32" customHeight="1" spans="1:6">
      <c r="A85" s="4">
        <v>81</v>
      </c>
      <c r="B85" s="5" t="s">
        <v>1339</v>
      </c>
      <c r="C85" s="6" t="s">
        <v>57</v>
      </c>
      <c r="D85" s="6" t="s">
        <v>58</v>
      </c>
      <c r="E85" s="5" t="s">
        <v>75</v>
      </c>
      <c r="F85" s="5" t="s">
        <v>1340</v>
      </c>
    </row>
    <row r="86" ht="32" customHeight="1" spans="1:6">
      <c r="A86" s="4">
        <v>82</v>
      </c>
      <c r="B86" s="5" t="s">
        <v>1341</v>
      </c>
      <c r="C86" s="6" t="s">
        <v>57</v>
      </c>
      <c r="D86" s="6" t="s">
        <v>58</v>
      </c>
      <c r="E86" s="5" t="s">
        <v>75</v>
      </c>
      <c r="F86" s="5" t="s">
        <v>1238</v>
      </c>
    </row>
    <row r="87" ht="32" customHeight="1" spans="1:6">
      <c r="A87" s="4">
        <v>83</v>
      </c>
      <c r="B87" s="5" t="s">
        <v>1342</v>
      </c>
      <c r="C87" s="6" t="s">
        <v>57</v>
      </c>
      <c r="D87" s="6" t="s">
        <v>58</v>
      </c>
      <c r="E87" s="5" t="s">
        <v>75</v>
      </c>
      <c r="F87" s="5" t="s">
        <v>1241</v>
      </c>
    </row>
    <row r="88" ht="32" customHeight="1" spans="1:6">
      <c r="A88" s="4">
        <v>84</v>
      </c>
      <c r="B88" s="5" t="s">
        <v>1343</v>
      </c>
      <c r="C88" s="6" t="s">
        <v>57</v>
      </c>
      <c r="D88" s="6" t="s">
        <v>58</v>
      </c>
      <c r="E88" s="5" t="s">
        <v>75</v>
      </c>
      <c r="F88" s="5" t="s">
        <v>1241</v>
      </c>
    </row>
    <row r="89" ht="32" customHeight="1" spans="1:6">
      <c r="A89" s="4">
        <v>85</v>
      </c>
      <c r="B89" s="5" t="s">
        <v>1344</v>
      </c>
      <c r="C89" s="6" t="s">
        <v>57</v>
      </c>
      <c r="D89" s="6" t="s">
        <v>58</v>
      </c>
      <c r="E89" s="5" t="s">
        <v>75</v>
      </c>
      <c r="F89" s="5" t="s">
        <v>1238</v>
      </c>
    </row>
    <row r="90" ht="32" customHeight="1" spans="1:6">
      <c r="A90" s="4">
        <v>86</v>
      </c>
      <c r="B90" s="5" t="s">
        <v>1345</v>
      </c>
      <c r="C90" s="6" t="s">
        <v>57</v>
      </c>
      <c r="D90" s="6" t="s">
        <v>58</v>
      </c>
      <c r="E90" s="5" t="s">
        <v>75</v>
      </c>
      <c r="F90" s="5" t="s">
        <v>1241</v>
      </c>
    </row>
    <row r="91" ht="32" customHeight="1" spans="1:6">
      <c r="A91" s="4">
        <v>87</v>
      </c>
      <c r="B91" s="5" t="s">
        <v>1346</v>
      </c>
      <c r="C91" s="6" t="s">
        <v>57</v>
      </c>
      <c r="D91" s="6" t="s">
        <v>58</v>
      </c>
      <c r="E91" s="5" t="s">
        <v>1347</v>
      </c>
      <c r="F91" s="5" t="s">
        <v>1238</v>
      </c>
    </row>
    <row r="92" ht="32" customHeight="1" spans="1:6">
      <c r="A92" s="4">
        <v>88</v>
      </c>
      <c r="B92" s="5" t="s">
        <v>1348</v>
      </c>
      <c r="C92" s="6" t="s">
        <v>57</v>
      </c>
      <c r="D92" s="6" t="s">
        <v>58</v>
      </c>
      <c r="E92" s="5" t="s">
        <v>75</v>
      </c>
      <c r="F92" s="5" t="s">
        <v>1238</v>
      </c>
    </row>
    <row r="93" ht="32" customHeight="1" spans="1:6">
      <c r="A93" s="4">
        <v>89</v>
      </c>
      <c r="B93" s="5" t="s">
        <v>1349</v>
      </c>
      <c r="C93" s="6" t="s">
        <v>57</v>
      </c>
      <c r="D93" s="6" t="s">
        <v>58</v>
      </c>
      <c r="E93" s="5" t="s">
        <v>75</v>
      </c>
      <c r="F93" s="5" t="s">
        <v>1238</v>
      </c>
    </row>
    <row r="94" ht="32" customHeight="1" spans="1:6">
      <c r="A94" s="4">
        <v>90</v>
      </c>
      <c r="B94" s="5" t="s">
        <v>1350</v>
      </c>
      <c r="C94" s="6" t="s">
        <v>57</v>
      </c>
      <c r="D94" s="6" t="s">
        <v>58</v>
      </c>
      <c r="E94" s="5" t="s">
        <v>75</v>
      </c>
      <c r="F94" s="5" t="s">
        <v>1238</v>
      </c>
    </row>
    <row r="95" ht="32" customHeight="1" spans="1:6">
      <c r="A95" s="4">
        <v>91</v>
      </c>
      <c r="B95" s="5" t="s">
        <v>1351</v>
      </c>
      <c r="C95" s="6" t="s">
        <v>57</v>
      </c>
      <c r="D95" s="6" t="s">
        <v>58</v>
      </c>
      <c r="E95" s="5" t="s">
        <v>75</v>
      </c>
      <c r="F95" s="5" t="s">
        <v>1238</v>
      </c>
    </row>
    <row r="96" ht="32" customHeight="1" spans="1:6">
      <c r="A96" s="4">
        <v>92</v>
      </c>
      <c r="B96" s="5" t="s">
        <v>1352</v>
      </c>
      <c r="C96" s="6" t="s">
        <v>57</v>
      </c>
      <c r="D96" s="6" t="s">
        <v>58</v>
      </c>
      <c r="E96" s="5" t="s">
        <v>75</v>
      </c>
      <c r="F96" s="5" t="s">
        <v>1238</v>
      </c>
    </row>
    <row r="97" ht="32" customHeight="1" spans="1:6">
      <c r="A97" s="4">
        <v>93</v>
      </c>
      <c r="B97" s="5" t="s">
        <v>1353</v>
      </c>
      <c r="C97" s="6" t="s">
        <v>57</v>
      </c>
      <c r="D97" s="6" t="s">
        <v>58</v>
      </c>
      <c r="E97" s="5" t="s">
        <v>75</v>
      </c>
      <c r="F97" s="5" t="s">
        <v>1238</v>
      </c>
    </row>
    <row r="98" ht="32" customHeight="1" spans="1:6">
      <c r="A98" s="4">
        <v>94</v>
      </c>
      <c r="B98" s="5" t="s">
        <v>1354</v>
      </c>
      <c r="C98" s="6" t="s">
        <v>57</v>
      </c>
      <c r="D98" s="6" t="s">
        <v>58</v>
      </c>
      <c r="E98" s="5" t="s">
        <v>75</v>
      </c>
      <c r="F98" s="5" t="s">
        <v>1238</v>
      </c>
    </row>
    <row r="99" ht="32" customHeight="1" spans="1:6">
      <c r="A99" s="4">
        <v>95</v>
      </c>
      <c r="B99" s="5" t="s">
        <v>1355</v>
      </c>
      <c r="C99" s="6" t="s">
        <v>57</v>
      </c>
      <c r="D99" s="6" t="s">
        <v>58</v>
      </c>
      <c r="E99" s="5" t="s">
        <v>1356</v>
      </c>
      <c r="F99" s="5" t="s">
        <v>1238</v>
      </c>
    </row>
    <row r="100" ht="32" customHeight="1" spans="1:6">
      <c r="A100" s="4">
        <v>96</v>
      </c>
      <c r="B100" s="5" t="s">
        <v>1357</v>
      </c>
      <c r="C100" s="6" t="s">
        <v>57</v>
      </c>
      <c r="D100" s="6" t="s">
        <v>58</v>
      </c>
      <c r="E100" s="5" t="s">
        <v>75</v>
      </c>
      <c r="F100" s="5" t="s">
        <v>1241</v>
      </c>
    </row>
    <row r="101" ht="44" customHeight="1" spans="1:6">
      <c r="A101" s="4">
        <v>97</v>
      </c>
      <c r="B101" s="5" t="s">
        <v>1358</v>
      </c>
      <c r="C101" s="6" t="s">
        <v>57</v>
      </c>
      <c r="D101" s="6" t="s">
        <v>58</v>
      </c>
      <c r="E101" s="5" t="s">
        <v>1359</v>
      </c>
      <c r="F101" s="5" t="s">
        <v>1260</v>
      </c>
    </row>
    <row r="102" ht="32" customHeight="1" spans="1:6">
      <c r="A102" s="4">
        <v>98</v>
      </c>
      <c r="B102" s="5" t="s">
        <v>1360</v>
      </c>
      <c r="C102" s="6" t="s">
        <v>57</v>
      </c>
      <c r="D102" s="6" t="s">
        <v>58</v>
      </c>
      <c r="E102" s="5" t="s">
        <v>75</v>
      </c>
      <c r="F102" s="5" t="s">
        <v>1238</v>
      </c>
    </row>
    <row r="103" ht="32" customHeight="1" spans="1:6">
      <c r="A103" s="4">
        <v>99</v>
      </c>
      <c r="B103" s="5" t="s">
        <v>1361</v>
      </c>
      <c r="C103" s="6" t="s">
        <v>57</v>
      </c>
      <c r="D103" s="6" t="s">
        <v>58</v>
      </c>
      <c r="E103" s="5" t="s">
        <v>75</v>
      </c>
      <c r="F103" s="5" t="s">
        <v>1238</v>
      </c>
    </row>
    <row r="104" ht="32" customHeight="1" spans="1:6">
      <c r="A104" s="4">
        <v>100</v>
      </c>
      <c r="B104" s="5" t="s">
        <v>1362</v>
      </c>
      <c r="C104" s="6" t="s">
        <v>57</v>
      </c>
      <c r="D104" s="6" t="s">
        <v>58</v>
      </c>
      <c r="E104" s="5" t="s">
        <v>75</v>
      </c>
      <c r="F104" s="5" t="s">
        <v>1238</v>
      </c>
    </row>
    <row r="105" ht="32" customHeight="1" spans="1:6">
      <c r="A105" s="4">
        <v>101</v>
      </c>
      <c r="B105" s="5" t="s">
        <v>1363</v>
      </c>
      <c r="C105" s="6" t="s">
        <v>57</v>
      </c>
      <c r="D105" s="6" t="s">
        <v>58</v>
      </c>
      <c r="E105" s="5" t="s">
        <v>75</v>
      </c>
      <c r="F105" s="5" t="s">
        <v>1241</v>
      </c>
    </row>
    <row r="106" ht="32" customHeight="1" spans="1:6">
      <c r="A106" s="4">
        <v>102</v>
      </c>
      <c r="B106" s="5" t="s">
        <v>1364</v>
      </c>
      <c r="C106" s="6" t="s">
        <v>57</v>
      </c>
      <c r="D106" s="6" t="s">
        <v>58</v>
      </c>
      <c r="E106" s="5" t="s">
        <v>75</v>
      </c>
      <c r="F106" s="5" t="s">
        <v>1241</v>
      </c>
    </row>
    <row r="107" ht="32" customHeight="1" spans="1:6">
      <c r="A107" s="4">
        <v>103</v>
      </c>
      <c r="B107" s="5" t="s">
        <v>1365</v>
      </c>
      <c r="C107" s="6" t="s">
        <v>57</v>
      </c>
      <c r="D107" s="6" t="s">
        <v>58</v>
      </c>
      <c r="E107" s="5" t="s">
        <v>75</v>
      </c>
      <c r="F107" s="5" t="s">
        <v>1238</v>
      </c>
    </row>
    <row r="108" ht="32" customHeight="1" spans="1:6">
      <c r="A108" s="4">
        <v>104</v>
      </c>
      <c r="B108" s="5" t="s">
        <v>1366</v>
      </c>
      <c r="C108" s="6" t="s">
        <v>57</v>
      </c>
      <c r="D108" s="6" t="s">
        <v>58</v>
      </c>
      <c r="E108" s="5" t="s">
        <v>75</v>
      </c>
      <c r="F108" s="5" t="s">
        <v>1241</v>
      </c>
    </row>
    <row r="109" ht="44" customHeight="1" spans="1:6">
      <c r="A109" s="4">
        <v>105</v>
      </c>
      <c r="B109" s="5" t="s">
        <v>1367</v>
      </c>
      <c r="C109" s="6" t="s">
        <v>57</v>
      </c>
      <c r="D109" s="6" t="s">
        <v>58</v>
      </c>
      <c r="E109" s="5" t="s">
        <v>1368</v>
      </c>
      <c r="F109" s="5" t="s">
        <v>1260</v>
      </c>
    </row>
    <row r="110" ht="32" customHeight="1" spans="1:6">
      <c r="A110" s="4">
        <v>106</v>
      </c>
      <c r="B110" s="5" t="s">
        <v>1369</v>
      </c>
      <c r="C110" s="6" t="s">
        <v>57</v>
      </c>
      <c r="D110" s="6" t="s">
        <v>58</v>
      </c>
      <c r="E110" s="5" t="s">
        <v>75</v>
      </c>
      <c r="F110" s="5" t="s">
        <v>1307</v>
      </c>
    </row>
    <row r="111" ht="32" customHeight="1" spans="1:6">
      <c r="A111" s="4">
        <v>107</v>
      </c>
      <c r="B111" s="5" t="s">
        <v>1370</v>
      </c>
      <c r="C111" s="6" t="s">
        <v>57</v>
      </c>
      <c r="D111" s="6" t="s">
        <v>58</v>
      </c>
      <c r="E111" s="5" t="s">
        <v>75</v>
      </c>
      <c r="F111" s="5" t="s">
        <v>1238</v>
      </c>
    </row>
    <row r="112" ht="32" customHeight="1" spans="1:6">
      <c r="A112" s="4">
        <v>108</v>
      </c>
      <c r="B112" s="5" t="s">
        <v>1371</v>
      </c>
      <c r="C112" s="6" t="s">
        <v>57</v>
      </c>
      <c r="D112" s="6" t="s">
        <v>58</v>
      </c>
      <c r="E112" s="5" t="s">
        <v>75</v>
      </c>
      <c r="F112" s="5" t="s">
        <v>1238</v>
      </c>
    </row>
  </sheetData>
  <mergeCells count="1">
    <mergeCell ref="A2:B2"/>
  </mergeCells>
  <hyperlinks>
    <hyperlink ref="C5" r:id="rId2" display="事件依据"/>
    <hyperlink ref="D5" r:id="rId3" display="资产证明"/>
    <hyperlink ref="C6" r:id="rId4" display="事件依据"/>
    <hyperlink ref="D6" r:id="rId3" display="资产证明"/>
    <hyperlink ref="C7" r:id="rId5" display="事件依据"/>
    <hyperlink ref="D7" r:id="rId5" display="资产证明"/>
    <hyperlink ref="C8" r:id="rId6" display="事件依据"/>
    <hyperlink ref="D8" r:id="rId7" display="资产证明"/>
    <hyperlink ref="C9" r:id="rId8" display="事件依据"/>
    <hyperlink ref="D9" r:id="rId8" display="资产证明"/>
    <hyperlink ref="C10" r:id="rId9" display="事件依据"/>
    <hyperlink ref="D10" r:id="rId9" display="资产证明"/>
    <hyperlink ref="C11" r:id="rId8" display="事件依据"/>
    <hyperlink ref="D11" r:id="rId8" display="资产证明"/>
    <hyperlink ref="C12" r:id="rId10" display="事件依据"/>
    <hyperlink ref="D12" r:id="rId11" display="资产证明"/>
    <hyperlink ref="C13" r:id="rId12" display="事件依据"/>
    <hyperlink ref="D13" r:id="rId13" display="资产证明"/>
    <hyperlink ref="C14" r:id="rId14" display="事件依据"/>
    <hyperlink ref="D14" r:id="rId15" display="资产证明"/>
    <hyperlink ref="C15" r:id="rId16" display="事件依据"/>
    <hyperlink ref="D15" r:id="rId17" display="资产证明"/>
    <hyperlink ref="C16" r:id="rId18" display="事件依据"/>
    <hyperlink ref="D16" r:id="rId19" display="资产证明"/>
    <hyperlink ref="C17" r:id="rId20" display="事件依据"/>
    <hyperlink ref="D17" r:id="rId20" display="资产证明"/>
    <hyperlink ref="C18" r:id="rId21" display="事件依据"/>
    <hyperlink ref="D18" r:id="rId21" display="资产证明"/>
    <hyperlink ref="C19" r:id="rId22" display="事件依据"/>
    <hyperlink ref="D19" r:id="rId22" display="资产证明"/>
    <hyperlink ref="C20" r:id="rId23" display="事件依据"/>
    <hyperlink ref="D20" r:id="rId23" display="资产证明"/>
    <hyperlink ref="C21" r:id="rId24" display="事件依据"/>
    <hyperlink ref="D21" r:id="rId24" display="资产证明"/>
    <hyperlink ref="C22" r:id="rId25" display="事件依据"/>
    <hyperlink ref="D22" r:id="rId25" display="资产证明"/>
    <hyperlink ref="C23" r:id="rId26" display="事件依据"/>
    <hyperlink ref="D23" r:id="rId27" display="资产证明"/>
    <hyperlink ref="C24" r:id="rId28" display="事件依据"/>
    <hyperlink ref="D24" r:id="rId29" display="资产证明"/>
    <hyperlink ref="C25" r:id="rId30" display="事件依据"/>
    <hyperlink ref="D25" r:id="rId31" display="资产证明"/>
    <hyperlink ref="C26" r:id="rId32" display="事件依据"/>
    <hyperlink ref="D26" r:id="rId33" display="资产证明"/>
    <hyperlink ref="C27" r:id="rId34" display="事件依据"/>
    <hyperlink ref="D27" r:id="rId35" display="资产证明"/>
    <hyperlink ref="C28" r:id="rId36" display="事件依据"/>
    <hyperlink ref="D28" r:id="rId37" display="资产证明"/>
    <hyperlink ref="C29" r:id="rId38" display="事件依据"/>
    <hyperlink ref="D29" r:id="rId39" display="资产证明"/>
    <hyperlink ref="C30" r:id="rId40" display="事件依据"/>
    <hyperlink ref="D30" r:id="rId40" display="资产证明"/>
    <hyperlink ref="C31" r:id="rId41" display="事件依据"/>
    <hyperlink ref="D31" r:id="rId41" display="资产证明"/>
    <hyperlink ref="C32" r:id="rId42" display="事件依据"/>
    <hyperlink ref="D32" r:id="rId42" display="资产证明"/>
    <hyperlink ref="C33" r:id="rId43" display="事件依据"/>
    <hyperlink ref="D33" r:id="rId43" display="资产证明"/>
    <hyperlink ref="C34" r:id="rId44" display="事件依据"/>
    <hyperlink ref="D34" r:id="rId45" display="资产证明"/>
    <hyperlink ref="C35" r:id="rId46" display="事件依据"/>
    <hyperlink ref="D35" r:id="rId47" display="资产证明"/>
    <hyperlink ref="C36" r:id="rId48" display="事件依据"/>
    <hyperlink ref="D36" r:id="rId49" display="资产证明"/>
    <hyperlink ref="C37" r:id="rId50" display="事件依据"/>
    <hyperlink ref="D37" r:id="rId50" display="资产证明"/>
    <hyperlink ref="C38" r:id="rId51" display="事件依据"/>
    <hyperlink ref="D38" r:id="rId52" display="资产证明"/>
    <hyperlink ref="C39" r:id="rId53" display="事件依据"/>
    <hyperlink ref="D39" r:id="rId53" display="资产证明"/>
    <hyperlink ref="C40" r:id="rId54" display="事件依据"/>
    <hyperlink ref="D40" r:id="rId54" display="资产证明"/>
    <hyperlink ref="C41" r:id="rId55" display="事件依据"/>
    <hyperlink ref="D41" r:id="rId55" display="资产证明"/>
    <hyperlink ref="C42" r:id="rId56" display="事件依据"/>
    <hyperlink ref="D42" r:id="rId45" display="资产证明"/>
    <hyperlink ref="C43" r:id="rId57" display="事件依据"/>
    <hyperlink ref="D43" r:id="rId57" display="资产证明"/>
    <hyperlink ref="C44" r:id="rId58" display="事件依据"/>
    <hyperlink ref="D44" r:id="rId59" display="资产证明"/>
    <hyperlink ref="C45" r:id="rId60" display="事件依据"/>
    <hyperlink ref="D45" r:id="rId61" display="资产证明"/>
    <hyperlink ref="C46" r:id="rId62" display="事件依据"/>
    <hyperlink ref="D46" r:id="rId62" display="资产证明"/>
    <hyperlink ref="C47" r:id="rId63" display="事件依据"/>
    <hyperlink ref="D47" r:id="rId45" display="资产证明"/>
    <hyperlink ref="C48" r:id="rId64" display="事件依据"/>
    <hyperlink ref="D48" r:id="rId65" display="资产证明"/>
    <hyperlink ref="C49" r:id="rId66" display="事件依据"/>
    <hyperlink ref="D49" r:id="rId67" display="资产证明"/>
    <hyperlink ref="C50" r:id="rId68" display="事件依据"/>
    <hyperlink ref="D50" r:id="rId68" display="资产证明"/>
    <hyperlink ref="C51" r:id="rId69" display="事件依据"/>
    <hyperlink ref="D51" r:id="rId69" display="资产证明"/>
    <hyperlink ref="C52" r:id="rId70" display="事件依据"/>
    <hyperlink ref="D52" r:id="rId71" display="资产证明"/>
    <hyperlink ref="C53" r:id="rId72" display="事件依据"/>
    <hyperlink ref="D53" r:id="rId73" display="资产证明"/>
    <hyperlink ref="C54" r:id="rId74" display="事件依据"/>
    <hyperlink ref="D54" r:id="rId74" display="资产证明"/>
    <hyperlink ref="C55" r:id="rId75" display="事件依据"/>
    <hyperlink ref="D55" r:id="rId76" display="资产证明"/>
    <hyperlink ref="C56" r:id="rId77" display="事件依据"/>
    <hyperlink ref="D56" r:id="rId77" display="资产证明"/>
    <hyperlink ref="C57" r:id="rId78" display="事件依据"/>
    <hyperlink ref="D57" r:id="rId78" display="资产证明"/>
    <hyperlink ref="C58" r:id="rId79" display="事件依据"/>
    <hyperlink ref="D58" r:id="rId80" display="资产证明"/>
    <hyperlink ref="C59" r:id="rId81" display="事件依据"/>
    <hyperlink ref="D59" r:id="rId82" display="资产证明"/>
    <hyperlink ref="C60" r:id="rId83" display="事件依据"/>
    <hyperlink ref="D60" r:id="rId84" display="资产证明"/>
    <hyperlink ref="C61" r:id="rId85" display="事件依据"/>
    <hyperlink ref="D61" r:id="rId85" display="资产证明"/>
    <hyperlink ref="C62" r:id="rId86" display="事件依据"/>
    <hyperlink ref="D62" r:id="rId86" display="资产证明"/>
    <hyperlink ref="C63" r:id="rId87" display="事件依据"/>
    <hyperlink ref="D63" r:id="rId88" display="资产证明"/>
    <hyperlink ref="C64" r:id="rId89" display="事件依据"/>
    <hyperlink ref="D64" r:id="rId89" display="资产证明"/>
    <hyperlink ref="C65" r:id="rId90" display="事件依据"/>
    <hyperlink ref="D65" r:id="rId91" display="资产证明"/>
    <hyperlink ref="C66" r:id="rId92" display="事件依据"/>
    <hyperlink ref="D66" r:id="rId3" display="资产证明"/>
    <hyperlink ref="C67" r:id="rId93" display="事件依据"/>
    <hyperlink ref="D67" r:id="rId93" display="资产证明"/>
    <hyperlink ref="C68" r:id="rId94" display="事件依据"/>
    <hyperlink ref="D68" r:id="rId94" display="资产证明"/>
    <hyperlink ref="C69" r:id="rId95" display="事件依据"/>
    <hyperlink ref="D69" r:id="rId95" display="资产证明"/>
    <hyperlink ref="C70" r:id="rId96" display="事件依据"/>
    <hyperlink ref="D70" r:id="rId97" display="资产证明"/>
    <hyperlink ref="C71" r:id="rId98" display="事件依据"/>
    <hyperlink ref="D71" r:id="rId3" display="资产证明"/>
    <hyperlink ref="C72" r:id="rId99" display="事件依据"/>
    <hyperlink ref="D72" r:id="rId99" display="资产证明"/>
    <hyperlink ref="C73" r:id="rId100" display="事件依据"/>
    <hyperlink ref="D73" r:id="rId100" display="资产证明"/>
    <hyperlink ref="C74" r:id="rId101" display="事件依据"/>
    <hyperlink ref="D74" r:id="rId102" display="资产证明"/>
    <hyperlink ref="C75" r:id="rId103" display="事件依据"/>
    <hyperlink ref="D75" r:id="rId11" display="资产证明"/>
    <hyperlink ref="C76" r:id="rId104" display="事件依据"/>
    <hyperlink ref="D76" r:id="rId104" display="资产证明"/>
    <hyperlink ref="C77" r:id="rId105" display="事件依据"/>
    <hyperlink ref="D77" r:id="rId45" display="资产证明"/>
    <hyperlink ref="C78" r:id="rId106" display="事件依据"/>
    <hyperlink ref="D78" r:id="rId106" display="资产证明"/>
    <hyperlink ref="C79" r:id="rId107" display="事件依据"/>
    <hyperlink ref="D79" r:id="rId52" display="资产证明"/>
    <hyperlink ref="C80" r:id="rId108" display="事件依据"/>
    <hyperlink ref="D80" r:id="rId108" display="资产证明"/>
    <hyperlink ref="C81" r:id="rId109" display="事件依据"/>
    <hyperlink ref="D81" r:id="rId110" display="资产证明"/>
    <hyperlink ref="C82" r:id="rId111" display="事件依据"/>
    <hyperlink ref="D82" r:id="rId11" display="资产证明"/>
    <hyperlink ref="C83" r:id="rId112" display="事件依据"/>
    <hyperlink ref="D83" r:id="rId113" display="资产证明"/>
    <hyperlink ref="C84" r:id="rId114" display="事件依据"/>
    <hyperlink ref="D84" r:id="rId115" display="资产证明"/>
    <hyperlink ref="C85" r:id="rId116" display="事件依据"/>
    <hyperlink ref="D85" r:id="rId117" display="资产证明"/>
    <hyperlink ref="C86" r:id="rId118" display="事件依据"/>
    <hyperlink ref="D86" r:id="rId11" display="资产证明"/>
    <hyperlink ref="C87" r:id="rId119" display="事件依据"/>
    <hyperlink ref="D87" r:id="rId119" display="资产证明"/>
    <hyperlink ref="C88" r:id="rId120" display="事件依据"/>
    <hyperlink ref="D88" r:id="rId120" display="资产证明"/>
    <hyperlink ref="C89" r:id="rId121" display="事件依据"/>
    <hyperlink ref="D89" r:id="rId11" display="资产证明"/>
    <hyperlink ref="C90" r:id="rId122" display="事件依据"/>
    <hyperlink ref="D90" r:id="rId122" display="资产证明"/>
    <hyperlink ref="C91" r:id="rId123" display="事件依据"/>
    <hyperlink ref="D91" r:id="rId3" display="资产证明"/>
    <hyperlink ref="C92" r:id="rId124" display="事件依据"/>
    <hyperlink ref="D92" r:id="rId3" display="资产证明"/>
    <hyperlink ref="C93" r:id="rId125" display="事件依据"/>
    <hyperlink ref="D93" r:id="rId3" display="资产证明"/>
    <hyperlink ref="C94" r:id="rId126" display="事件依据"/>
    <hyperlink ref="D94" r:id="rId3" display="资产证明"/>
    <hyperlink ref="C95" r:id="rId127" display="事件依据"/>
    <hyperlink ref="D95" r:id="rId3" display="资产证明"/>
    <hyperlink ref="C96" r:id="rId128" display="事件依据"/>
    <hyperlink ref="D96" r:id="rId3" display="资产证明"/>
    <hyperlink ref="C97" r:id="rId129" display="事件依据"/>
    <hyperlink ref="D97" r:id="rId3" display="资产证明"/>
    <hyperlink ref="C98" r:id="rId130" display="事件依据"/>
    <hyperlink ref="D98" r:id="rId3" display="资产证明"/>
    <hyperlink ref="C99" r:id="rId131" display="事件依据"/>
    <hyperlink ref="D99" r:id="rId3" display="资产证明"/>
    <hyperlink ref="C100" r:id="rId132" display="事件依据"/>
    <hyperlink ref="D100" r:id="rId132" display="资产证明"/>
    <hyperlink ref="C101" r:id="rId133" display="事件依据"/>
    <hyperlink ref="D101" r:id="rId134" display="资产证明"/>
    <hyperlink ref="C102" r:id="rId135" display="事件依据"/>
    <hyperlink ref="D102" r:id="rId3" display="资产证明"/>
    <hyperlink ref="C103" r:id="rId136" display="事件依据"/>
    <hyperlink ref="D103" r:id="rId3" display="资产证明"/>
    <hyperlink ref="C104" r:id="rId137" display="事件依据"/>
    <hyperlink ref="D104" r:id="rId3" display="资产证明"/>
    <hyperlink ref="C105" r:id="rId138" display="事件依据"/>
    <hyperlink ref="D105" r:id="rId138" display="资产证明"/>
    <hyperlink ref="C106" r:id="rId139" display="事件依据"/>
    <hyperlink ref="D106" r:id="rId139" display="资产证明"/>
    <hyperlink ref="C107" r:id="rId140" display="事件依据"/>
    <hyperlink ref="D107" r:id="rId3" display="资产证明"/>
    <hyperlink ref="C108" r:id="rId141" display="事件依据"/>
    <hyperlink ref="D108" r:id="rId141" display="资产证明"/>
    <hyperlink ref="C109" r:id="rId142" display="事件依据"/>
    <hyperlink ref="D109" r:id="rId143" display="资产证明"/>
    <hyperlink ref="C110" r:id="rId144" display="事件依据"/>
    <hyperlink ref="D110" r:id="rId82" display="资产证明"/>
    <hyperlink ref="C111" r:id="rId145" display="事件依据"/>
    <hyperlink ref="D111" r:id="rId11" display="资产证明"/>
    <hyperlink ref="C112" r:id="rId146" display="事件依据"/>
    <hyperlink ref="D112" r:id="rId3" display="资产证明"/>
  </hyperlink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统计概览</vt:lpstr>
      <vt:lpstr>108案详情</vt:lpstr>
      <vt:lpstr>来源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Got it dIANA</cp:lastModifiedBy>
  <dcterms:created xsi:type="dcterms:W3CDTF">2026-10-07T08:43:00Z</dcterms:created>
  <dcterms:modified xsi:type="dcterms:W3CDTF">2026-10-07T08:44:48Z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893A728348944904A916933E96812D91_12</vt:lpwstr>
  </property>
  <property fmtid="{D5CDD505-2E9C-101B-9397-08002B2CF9AE}" pid="3" name="KSOProductBuildVer">
    <vt:lpwstr>2052-12.1.0.28505</vt:lpwstr>
  </property>
  <property fmtid="{D5CDD505-2E9C-101B-9397-08002B2CF9AE}" pid="4" name="CalculationRule">
    <vt:i4>0</vt:i4>
  </property>
</Properties>
</file>